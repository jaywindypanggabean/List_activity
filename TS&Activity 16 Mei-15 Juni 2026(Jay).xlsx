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9DF28D6-C3D8-415A-B028-7D3D2B88B2A9}" xr6:coauthVersionLast="47" xr6:coauthVersionMax="47" xr10:uidLastSave="{00000000-0000-0000-0000-000000000000}"/>
  <bookViews>
    <workbookView xWindow="-120" yWindow="-120" windowWidth="20730" windowHeight="11040" xr2:uid="{B3E395CC-640C-4690-93D0-BE1728A45FEA}"/>
  </bookViews>
  <sheets>
    <sheet name="April-Mei" sheetId="1" r:id="rId1"/>
    <sheet name="Mei-Juni" sheetId="4" r:id="rId2"/>
    <sheet name="Activity Mei-Juni" sheetId="3" r:id="rId3"/>
  </sheets>
  <definedNames>
    <definedName name="_xlnm.Print_Area" localSheetId="0">'April-Mei'!$A$1:$AQ$31</definedName>
    <definedName name="_xlnm.Print_Area" localSheetId="1">'Mei-Juni'!$A$1:$AQ$31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24" i="4" l="1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19" i="4"/>
  <c r="H18" i="4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I30" i="3"/>
  <c r="I31" i="3"/>
  <c r="I32" i="3"/>
  <c r="I33" i="3"/>
  <c r="H30" i="3"/>
  <c r="H31" i="3"/>
  <c r="H32" i="3"/>
  <c r="H33" i="3"/>
  <c r="H29" i="3"/>
  <c r="I29" i="3"/>
  <c r="H28" i="3"/>
  <c r="I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H7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3" i="3"/>
  <c r="H4" i="3"/>
  <c r="H5" i="3"/>
  <c r="H6" i="3"/>
  <c r="H8" i="3"/>
  <c r="H9" i="3"/>
  <c r="H10" i="3"/>
  <c r="H11" i="3"/>
  <c r="H12" i="3"/>
  <c r="H13" i="3"/>
  <c r="H14" i="3"/>
  <c r="H15" i="3"/>
  <c r="H16" i="3"/>
  <c r="H17" i="3"/>
  <c r="H18" i="3"/>
  <c r="H3" i="3"/>
  <c r="AL19" i="1"/>
  <c r="AL24" i="1"/>
  <c r="H23" i="1"/>
  <c r="I23" i="1" s="1"/>
  <c r="J23" i="1" s="1"/>
  <c r="K23" i="1" s="1"/>
  <c r="L23" i="1" s="1"/>
  <c r="M23" i="1" s="1"/>
  <c r="N23" i="1" s="1"/>
  <c r="O23" i="1" s="1"/>
  <c r="H18" i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L25" i="4" l="1"/>
  <c r="AL25" i="1"/>
  <c r="P23" i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</calcChain>
</file>

<file path=xl/sharedStrings.xml><?xml version="1.0" encoding="utf-8"?>
<sst xmlns="http://schemas.openxmlformats.org/spreadsheetml/2006/main" count="123" uniqueCount="53">
  <si>
    <t>NAVITA ORIGO SOLUTIONS</t>
  </si>
  <si>
    <t>TIME SHEET</t>
  </si>
  <si>
    <t xml:space="preserve">      </t>
  </si>
  <si>
    <t>PROJECT</t>
  </si>
  <si>
    <t>:</t>
  </si>
  <si>
    <t>LOCATION</t>
  </si>
  <si>
    <t>PERIODE</t>
  </si>
  <si>
    <t>NO</t>
  </si>
  <si>
    <t>NAME</t>
  </si>
  <si>
    <t>TOTAL</t>
  </si>
  <si>
    <t>PRISTIONO</t>
  </si>
  <si>
    <t>Onshore</t>
  </si>
  <si>
    <t>DATE</t>
  </si>
  <si>
    <t>ACTIVITY</t>
  </si>
  <si>
    <t>NOTE</t>
  </si>
  <si>
    <t>SPV Teknisi</t>
  </si>
  <si>
    <t>Teknisi</t>
  </si>
  <si>
    <t>Widhargo</t>
  </si>
  <si>
    <t>Monitoring</t>
  </si>
  <si>
    <t>Job</t>
  </si>
  <si>
    <t>Off</t>
  </si>
  <si>
    <t>Hari Raya</t>
  </si>
  <si>
    <t xml:space="preserve">TOTAL TIME SHEET : </t>
  </si>
  <si>
    <t>Note :</t>
  </si>
  <si>
    <t>RIG</t>
  </si>
  <si>
    <t>WELL</t>
  </si>
  <si>
    <t>TIME</t>
  </si>
  <si>
    <t>ON</t>
  </si>
  <si>
    <t>OFF</t>
  </si>
  <si>
    <t>Mei 2026</t>
  </si>
  <si>
    <t>PHR</t>
  </si>
  <si>
    <t>Firman</t>
  </si>
  <si>
    <t>Project Manager</t>
  </si>
  <si>
    <t>TOTAL HOUR</t>
  </si>
  <si>
    <t>OVER TIME</t>
  </si>
  <si>
    <t>CODE</t>
  </si>
  <si>
    <t>untuk Off tidak usah memasukkan angka 1 di dalam tabel, cukup warna saja</t>
  </si>
  <si>
    <t xml:space="preserve">note; </t>
  </si>
  <si>
    <t>JAY</t>
  </si>
  <si>
    <t>DAY OFF</t>
  </si>
  <si>
    <t>ACS 26</t>
  </si>
  <si>
    <t>KOPAR-51</t>
  </si>
  <si>
    <t>Monitoring (Shift 2)</t>
  </si>
  <si>
    <t>Monitoring (Shift 1)</t>
  </si>
  <si>
    <t>R/U (Setting Agregator)</t>
  </si>
  <si>
    <t>R/U (Set IP IDS &amp; MWD)</t>
  </si>
  <si>
    <t>Trouble pd agen main &amp; bu, sesuaikan data dari MWD dengan server</t>
  </si>
  <si>
    <t>Monitoring (Shift 2) &amp; R/U (setting aggregator + change switch VLAN)</t>
  </si>
  <si>
    <t>BDSI 19</t>
  </si>
  <si>
    <t>BEKA-253</t>
  </si>
  <si>
    <t>Monitoring (Shift 1) &amp; R/U (cek kabel IDS &amp; Connect MWD)</t>
  </si>
  <si>
    <t>Juni 2026</t>
  </si>
  <si>
    <t>Jay W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</si>
</sst>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13809]hh:mm;@"/>
  </numFmts>
  <fonts count="12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charset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0" fillId="5" borderId="0" applyNumberFormat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49" fontId="5" fillId="0" borderId="0" xfId="0" applyNumberFormat="1" applyFont="1"/>
    <xf numFmtId="17" fontId="5" fillId="0" borderId="0" xfId="0" applyNumberFormat="1" applyFont="1"/>
    <xf numFmtId="17" fontId="5" fillId="0" borderId="0" xfId="0" applyNumberFormat="1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7" fillId="0" borderId="0" xfId="0" applyFont="1" applyAlignment="1">
      <alignment horizontal="center"/>
    </xf>
    <xf numFmtId="0" fontId="2" fillId="0" borderId="1" xfId="0" applyFont="1" applyBorder="1"/>
    <xf numFmtId="0" fontId="2" fillId="4" borderId="1" xfId="0" applyFont="1" applyFill="1" applyBorder="1"/>
    <xf numFmtId="0" fontId="2" fillId="3" borderId="1" xfId="0" applyFont="1" applyFill="1" applyBorder="1"/>
    <xf numFmtId="165" fontId="0" fillId="2" borderId="1" xfId="0" applyNumberFormat="1" applyFill="1" applyBorder="1"/>
    <xf numFmtId="46" fontId="0" fillId="0" borderId="1" xfId="0" applyNumberFormat="1" applyBorder="1"/>
    <xf numFmtId="0" fontId="9" fillId="5" borderId="1" xfId="2" applyFont="1" applyBorder="1" applyAlignment="1">
      <alignment horizontal="center"/>
    </xf>
    <xf numFmtId="0" fontId="9" fillId="5" borderId="1" xfId="2" applyFont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165" fontId="0" fillId="6" borderId="1" xfId="0" applyNumberFormat="1" applyFill="1" applyBorder="1"/>
    <xf numFmtId="46" fontId="0" fillId="6" borderId="1" xfId="0" applyNumberFormat="1" applyFill="1" applyBorder="1"/>
    <xf numFmtId="0" fontId="0" fillId="7" borderId="1" xfId="0" applyFill="1" applyBorder="1"/>
    <xf numFmtId="0" fontId="3" fillId="7" borderId="1" xfId="0" applyFont="1" applyFill="1" applyBorder="1"/>
    <xf numFmtId="0" fontId="2" fillId="8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6" fontId="0" fillId="2" borderId="1" xfId="0" applyNumberFormat="1" applyFill="1" applyBorder="1"/>
    <xf numFmtId="0" fontId="0" fillId="2" borderId="0" xfId="0" applyFill="1"/>
    <xf numFmtId="0" fontId="0" fillId="3" borderId="1" xfId="0" applyFill="1" applyBorder="1"/>
    <xf numFmtId="0" fontId="0" fillId="9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17" fontId="5" fillId="2" borderId="1" xfId="0" applyNumberFormat="1" applyFont="1" applyFill="1" applyBorder="1" applyAlignment="1">
      <alignment horizontal="center" vertical="center"/>
    </xf>
    <xf numFmtId="17" fontId="5" fillId="2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5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5" borderId="1" xfId="2" applyFont="1" applyBorder="1" applyAlignment="1">
      <alignment horizontal="center"/>
    </xf>
    <xf numFmtId="0" fontId="9" fillId="5" borderId="6" xfId="2" applyFont="1" applyBorder="1" applyAlignment="1">
      <alignment horizontal="center"/>
    </xf>
    <xf numFmtId="0" fontId="9" fillId="5" borderId="2" xfId="2" applyFont="1" applyBorder="1" applyAlignment="1">
      <alignment horizontal="center"/>
    </xf>
    <xf numFmtId="0" fontId="9" fillId="5" borderId="7" xfId="2" applyFont="1" applyBorder="1" applyAlignment="1">
      <alignment horizontal="center"/>
    </xf>
  </cellXfs>
  <cellStyles count="3">
    <cellStyle name="60% - Accent3" xfId="2" builtinId="40"/>
    <cellStyle name="Normal" xfId="0" builtinId="0"/>
    <cellStyle name="Normal 4" xfId="1" xr:uid="{C228E63F-FBFE-4FBF-B8EB-B07AEEB55A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161925</xdr:colOff>
      <xdr:row>0</xdr:row>
      <xdr:rowOff>28575</xdr:rowOff>
    </xdr:from>
    <xdr:to>
      <xdr:col>38</xdr:col>
      <xdr:colOff>238125</xdr:colOff>
      <xdr:row>1</xdr:row>
      <xdr:rowOff>47625</xdr:rowOff>
    </xdr:to>
    <xdr:pic>
      <xdr:nvPicPr>
        <xdr:cNvPr id="2" name="Picture 1" descr="Navita LOGO">
          <a:extLst>
            <a:ext uri="{FF2B5EF4-FFF2-40B4-BE49-F238E27FC236}">
              <a16:creationId xmlns:a16="http://schemas.microsoft.com/office/drawing/2014/main" id="{44BB3D95-6BB0-46DD-A9B5-BED0C0CE0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28575"/>
          <a:ext cx="20097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161925</xdr:colOff>
      <xdr:row>0</xdr:row>
      <xdr:rowOff>28575</xdr:rowOff>
    </xdr:from>
    <xdr:to>
      <xdr:col>38</xdr:col>
      <xdr:colOff>238125</xdr:colOff>
      <xdr:row>1</xdr:row>
      <xdr:rowOff>47625</xdr:rowOff>
    </xdr:to>
    <xdr:pic>
      <xdr:nvPicPr>
        <xdr:cNvPr id="2" name="Picture 1" descr="Navita LOGO">
          <a:extLst>
            <a:ext uri="{FF2B5EF4-FFF2-40B4-BE49-F238E27FC236}">
              <a16:creationId xmlns:a16="http://schemas.microsoft.com/office/drawing/2014/main" id="{903AA972-3A65-4005-8727-0BC94805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28575"/>
          <a:ext cx="20097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995F-41D3-4B1A-B001-EB0DF24D8A82}">
  <dimension ref="A1:AM40"/>
  <sheetViews>
    <sheetView tabSelected="1" topLeftCell="A14" zoomScale="115" zoomScaleNormal="115" zoomScaleSheetLayoutView="100" workbookViewId="0">
      <selection activeCell="AG23" sqref="AG23"/>
    </sheetView>
  </sheetViews>
  <sheetFormatPr defaultColWidth="8.85546875" defaultRowHeight="12.75" x14ac:dyDescent="0.2"/>
  <cols>
    <col min="1" max="3" width="3.7109375" style="2" customWidth="1"/>
    <col min="4" max="4" width="1.42578125" style="2" customWidth="1"/>
    <col min="5" max="5" width="3.7109375" style="2" customWidth="1"/>
    <col min="6" max="6" width="3.28515625" style="2" customWidth="1"/>
    <col min="7" max="37" width="3.7109375" style="2" customWidth="1"/>
    <col min="38" max="38" width="3" style="2" customWidth="1"/>
    <col min="39" max="39" width="3.7109375" style="2" customWidth="1"/>
    <col min="40" max="256" width="8.85546875" style="2"/>
    <col min="257" max="259" width="3.7109375" style="2" customWidth="1"/>
    <col min="260" max="260" width="1.42578125" style="2" customWidth="1"/>
    <col min="261" max="261" width="3.7109375" style="2" customWidth="1"/>
    <col min="262" max="262" width="3.28515625" style="2" customWidth="1"/>
    <col min="263" max="293" width="3.7109375" style="2" customWidth="1"/>
    <col min="294" max="294" width="3" style="2" customWidth="1"/>
    <col min="295" max="295" width="3.7109375" style="2" customWidth="1"/>
    <col min="296" max="512" width="8.85546875" style="2"/>
    <col min="513" max="515" width="3.7109375" style="2" customWidth="1"/>
    <col min="516" max="516" width="1.42578125" style="2" customWidth="1"/>
    <col min="517" max="517" width="3.7109375" style="2" customWidth="1"/>
    <col min="518" max="518" width="3.28515625" style="2" customWidth="1"/>
    <col min="519" max="549" width="3.7109375" style="2" customWidth="1"/>
    <col min="550" max="550" width="3" style="2" customWidth="1"/>
    <col min="551" max="551" width="3.7109375" style="2" customWidth="1"/>
    <col min="552" max="768" width="8.85546875" style="2"/>
    <col min="769" max="771" width="3.7109375" style="2" customWidth="1"/>
    <col min="772" max="772" width="1.42578125" style="2" customWidth="1"/>
    <col min="773" max="773" width="3.7109375" style="2" customWidth="1"/>
    <col min="774" max="774" width="3.28515625" style="2" customWidth="1"/>
    <col min="775" max="805" width="3.7109375" style="2" customWidth="1"/>
    <col min="806" max="806" width="3" style="2" customWidth="1"/>
    <col min="807" max="807" width="3.7109375" style="2" customWidth="1"/>
    <col min="808" max="1024" width="8.85546875" style="2"/>
    <col min="1025" max="1027" width="3.7109375" style="2" customWidth="1"/>
    <col min="1028" max="1028" width="1.42578125" style="2" customWidth="1"/>
    <col min="1029" max="1029" width="3.7109375" style="2" customWidth="1"/>
    <col min="1030" max="1030" width="3.28515625" style="2" customWidth="1"/>
    <col min="1031" max="1061" width="3.7109375" style="2" customWidth="1"/>
    <col min="1062" max="1062" width="3" style="2" customWidth="1"/>
    <col min="1063" max="1063" width="3.7109375" style="2" customWidth="1"/>
    <col min="1064" max="1280" width="8.85546875" style="2"/>
    <col min="1281" max="1283" width="3.7109375" style="2" customWidth="1"/>
    <col min="1284" max="1284" width="1.42578125" style="2" customWidth="1"/>
    <col min="1285" max="1285" width="3.7109375" style="2" customWidth="1"/>
    <col min="1286" max="1286" width="3.28515625" style="2" customWidth="1"/>
    <col min="1287" max="1317" width="3.7109375" style="2" customWidth="1"/>
    <col min="1318" max="1318" width="3" style="2" customWidth="1"/>
    <col min="1319" max="1319" width="3.7109375" style="2" customWidth="1"/>
    <col min="1320" max="1536" width="8.85546875" style="2"/>
    <col min="1537" max="1539" width="3.7109375" style="2" customWidth="1"/>
    <col min="1540" max="1540" width="1.42578125" style="2" customWidth="1"/>
    <col min="1541" max="1541" width="3.7109375" style="2" customWidth="1"/>
    <col min="1542" max="1542" width="3.28515625" style="2" customWidth="1"/>
    <col min="1543" max="1573" width="3.7109375" style="2" customWidth="1"/>
    <col min="1574" max="1574" width="3" style="2" customWidth="1"/>
    <col min="1575" max="1575" width="3.7109375" style="2" customWidth="1"/>
    <col min="1576" max="1792" width="8.85546875" style="2"/>
    <col min="1793" max="1795" width="3.7109375" style="2" customWidth="1"/>
    <col min="1796" max="1796" width="1.42578125" style="2" customWidth="1"/>
    <col min="1797" max="1797" width="3.7109375" style="2" customWidth="1"/>
    <col min="1798" max="1798" width="3.28515625" style="2" customWidth="1"/>
    <col min="1799" max="1829" width="3.7109375" style="2" customWidth="1"/>
    <col min="1830" max="1830" width="3" style="2" customWidth="1"/>
    <col min="1831" max="1831" width="3.7109375" style="2" customWidth="1"/>
    <col min="1832" max="2048" width="8.85546875" style="2"/>
    <col min="2049" max="2051" width="3.7109375" style="2" customWidth="1"/>
    <col min="2052" max="2052" width="1.42578125" style="2" customWidth="1"/>
    <col min="2053" max="2053" width="3.7109375" style="2" customWidth="1"/>
    <col min="2054" max="2054" width="3.28515625" style="2" customWidth="1"/>
    <col min="2055" max="2085" width="3.7109375" style="2" customWidth="1"/>
    <col min="2086" max="2086" width="3" style="2" customWidth="1"/>
    <col min="2087" max="2087" width="3.7109375" style="2" customWidth="1"/>
    <col min="2088" max="2304" width="8.85546875" style="2"/>
    <col min="2305" max="2307" width="3.7109375" style="2" customWidth="1"/>
    <col min="2308" max="2308" width="1.42578125" style="2" customWidth="1"/>
    <col min="2309" max="2309" width="3.7109375" style="2" customWidth="1"/>
    <col min="2310" max="2310" width="3.28515625" style="2" customWidth="1"/>
    <col min="2311" max="2341" width="3.7109375" style="2" customWidth="1"/>
    <col min="2342" max="2342" width="3" style="2" customWidth="1"/>
    <col min="2343" max="2343" width="3.7109375" style="2" customWidth="1"/>
    <col min="2344" max="2560" width="8.85546875" style="2"/>
    <col min="2561" max="2563" width="3.7109375" style="2" customWidth="1"/>
    <col min="2564" max="2564" width="1.42578125" style="2" customWidth="1"/>
    <col min="2565" max="2565" width="3.7109375" style="2" customWidth="1"/>
    <col min="2566" max="2566" width="3.28515625" style="2" customWidth="1"/>
    <col min="2567" max="2597" width="3.7109375" style="2" customWidth="1"/>
    <col min="2598" max="2598" width="3" style="2" customWidth="1"/>
    <col min="2599" max="2599" width="3.7109375" style="2" customWidth="1"/>
    <col min="2600" max="2816" width="8.85546875" style="2"/>
    <col min="2817" max="2819" width="3.7109375" style="2" customWidth="1"/>
    <col min="2820" max="2820" width="1.42578125" style="2" customWidth="1"/>
    <col min="2821" max="2821" width="3.7109375" style="2" customWidth="1"/>
    <col min="2822" max="2822" width="3.28515625" style="2" customWidth="1"/>
    <col min="2823" max="2853" width="3.7109375" style="2" customWidth="1"/>
    <col min="2854" max="2854" width="3" style="2" customWidth="1"/>
    <col min="2855" max="2855" width="3.7109375" style="2" customWidth="1"/>
    <col min="2856" max="3072" width="8.85546875" style="2"/>
    <col min="3073" max="3075" width="3.7109375" style="2" customWidth="1"/>
    <col min="3076" max="3076" width="1.42578125" style="2" customWidth="1"/>
    <col min="3077" max="3077" width="3.7109375" style="2" customWidth="1"/>
    <col min="3078" max="3078" width="3.28515625" style="2" customWidth="1"/>
    <col min="3079" max="3109" width="3.7109375" style="2" customWidth="1"/>
    <col min="3110" max="3110" width="3" style="2" customWidth="1"/>
    <col min="3111" max="3111" width="3.7109375" style="2" customWidth="1"/>
    <col min="3112" max="3328" width="8.85546875" style="2"/>
    <col min="3329" max="3331" width="3.7109375" style="2" customWidth="1"/>
    <col min="3332" max="3332" width="1.42578125" style="2" customWidth="1"/>
    <col min="3333" max="3333" width="3.7109375" style="2" customWidth="1"/>
    <col min="3334" max="3334" width="3.28515625" style="2" customWidth="1"/>
    <col min="3335" max="3365" width="3.7109375" style="2" customWidth="1"/>
    <col min="3366" max="3366" width="3" style="2" customWidth="1"/>
    <col min="3367" max="3367" width="3.7109375" style="2" customWidth="1"/>
    <col min="3368" max="3584" width="8.85546875" style="2"/>
    <col min="3585" max="3587" width="3.7109375" style="2" customWidth="1"/>
    <col min="3588" max="3588" width="1.42578125" style="2" customWidth="1"/>
    <col min="3589" max="3589" width="3.7109375" style="2" customWidth="1"/>
    <col min="3590" max="3590" width="3.28515625" style="2" customWidth="1"/>
    <col min="3591" max="3621" width="3.7109375" style="2" customWidth="1"/>
    <col min="3622" max="3622" width="3" style="2" customWidth="1"/>
    <col min="3623" max="3623" width="3.7109375" style="2" customWidth="1"/>
    <col min="3624" max="3840" width="8.85546875" style="2"/>
    <col min="3841" max="3843" width="3.7109375" style="2" customWidth="1"/>
    <col min="3844" max="3844" width="1.42578125" style="2" customWidth="1"/>
    <col min="3845" max="3845" width="3.7109375" style="2" customWidth="1"/>
    <col min="3846" max="3846" width="3.28515625" style="2" customWidth="1"/>
    <col min="3847" max="3877" width="3.7109375" style="2" customWidth="1"/>
    <col min="3878" max="3878" width="3" style="2" customWidth="1"/>
    <col min="3879" max="3879" width="3.7109375" style="2" customWidth="1"/>
    <col min="3880" max="4096" width="8.85546875" style="2"/>
    <col min="4097" max="4099" width="3.7109375" style="2" customWidth="1"/>
    <col min="4100" max="4100" width="1.42578125" style="2" customWidth="1"/>
    <col min="4101" max="4101" width="3.7109375" style="2" customWidth="1"/>
    <col min="4102" max="4102" width="3.28515625" style="2" customWidth="1"/>
    <col min="4103" max="4133" width="3.7109375" style="2" customWidth="1"/>
    <col min="4134" max="4134" width="3" style="2" customWidth="1"/>
    <col min="4135" max="4135" width="3.7109375" style="2" customWidth="1"/>
    <col min="4136" max="4352" width="8.85546875" style="2"/>
    <col min="4353" max="4355" width="3.7109375" style="2" customWidth="1"/>
    <col min="4356" max="4356" width="1.42578125" style="2" customWidth="1"/>
    <col min="4357" max="4357" width="3.7109375" style="2" customWidth="1"/>
    <col min="4358" max="4358" width="3.28515625" style="2" customWidth="1"/>
    <col min="4359" max="4389" width="3.7109375" style="2" customWidth="1"/>
    <col min="4390" max="4390" width="3" style="2" customWidth="1"/>
    <col min="4391" max="4391" width="3.7109375" style="2" customWidth="1"/>
    <col min="4392" max="4608" width="8.85546875" style="2"/>
    <col min="4609" max="4611" width="3.7109375" style="2" customWidth="1"/>
    <col min="4612" max="4612" width="1.42578125" style="2" customWidth="1"/>
    <col min="4613" max="4613" width="3.7109375" style="2" customWidth="1"/>
    <col min="4614" max="4614" width="3.28515625" style="2" customWidth="1"/>
    <col min="4615" max="4645" width="3.7109375" style="2" customWidth="1"/>
    <col min="4646" max="4646" width="3" style="2" customWidth="1"/>
    <col min="4647" max="4647" width="3.7109375" style="2" customWidth="1"/>
    <col min="4648" max="4864" width="8.85546875" style="2"/>
    <col min="4865" max="4867" width="3.7109375" style="2" customWidth="1"/>
    <col min="4868" max="4868" width="1.42578125" style="2" customWidth="1"/>
    <col min="4869" max="4869" width="3.7109375" style="2" customWidth="1"/>
    <col min="4870" max="4870" width="3.28515625" style="2" customWidth="1"/>
    <col min="4871" max="4901" width="3.7109375" style="2" customWidth="1"/>
    <col min="4902" max="4902" width="3" style="2" customWidth="1"/>
    <col min="4903" max="4903" width="3.7109375" style="2" customWidth="1"/>
    <col min="4904" max="5120" width="8.85546875" style="2"/>
    <col min="5121" max="5123" width="3.7109375" style="2" customWidth="1"/>
    <col min="5124" max="5124" width="1.42578125" style="2" customWidth="1"/>
    <col min="5125" max="5125" width="3.7109375" style="2" customWidth="1"/>
    <col min="5126" max="5126" width="3.28515625" style="2" customWidth="1"/>
    <col min="5127" max="5157" width="3.7109375" style="2" customWidth="1"/>
    <col min="5158" max="5158" width="3" style="2" customWidth="1"/>
    <col min="5159" max="5159" width="3.7109375" style="2" customWidth="1"/>
    <col min="5160" max="5376" width="8.85546875" style="2"/>
    <col min="5377" max="5379" width="3.7109375" style="2" customWidth="1"/>
    <col min="5380" max="5380" width="1.42578125" style="2" customWidth="1"/>
    <col min="5381" max="5381" width="3.7109375" style="2" customWidth="1"/>
    <col min="5382" max="5382" width="3.28515625" style="2" customWidth="1"/>
    <col min="5383" max="5413" width="3.7109375" style="2" customWidth="1"/>
    <col min="5414" max="5414" width="3" style="2" customWidth="1"/>
    <col min="5415" max="5415" width="3.7109375" style="2" customWidth="1"/>
    <col min="5416" max="5632" width="8.85546875" style="2"/>
    <col min="5633" max="5635" width="3.7109375" style="2" customWidth="1"/>
    <col min="5636" max="5636" width="1.42578125" style="2" customWidth="1"/>
    <col min="5637" max="5637" width="3.7109375" style="2" customWidth="1"/>
    <col min="5638" max="5638" width="3.28515625" style="2" customWidth="1"/>
    <col min="5639" max="5669" width="3.7109375" style="2" customWidth="1"/>
    <col min="5670" max="5670" width="3" style="2" customWidth="1"/>
    <col min="5671" max="5671" width="3.7109375" style="2" customWidth="1"/>
    <col min="5672" max="5888" width="8.85546875" style="2"/>
    <col min="5889" max="5891" width="3.7109375" style="2" customWidth="1"/>
    <col min="5892" max="5892" width="1.42578125" style="2" customWidth="1"/>
    <col min="5893" max="5893" width="3.7109375" style="2" customWidth="1"/>
    <col min="5894" max="5894" width="3.28515625" style="2" customWidth="1"/>
    <col min="5895" max="5925" width="3.7109375" style="2" customWidth="1"/>
    <col min="5926" max="5926" width="3" style="2" customWidth="1"/>
    <col min="5927" max="5927" width="3.7109375" style="2" customWidth="1"/>
    <col min="5928" max="6144" width="8.85546875" style="2"/>
    <col min="6145" max="6147" width="3.7109375" style="2" customWidth="1"/>
    <col min="6148" max="6148" width="1.42578125" style="2" customWidth="1"/>
    <col min="6149" max="6149" width="3.7109375" style="2" customWidth="1"/>
    <col min="6150" max="6150" width="3.28515625" style="2" customWidth="1"/>
    <col min="6151" max="6181" width="3.7109375" style="2" customWidth="1"/>
    <col min="6182" max="6182" width="3" style="2" customWidth="1"/>
    <col min="6183" max="6183" width="3.7109375" style="2" customWidth="1"/>
    <col min="6184" max="6400" width="8.85546875" style="2"/>
    <col min="6401" max="6403" width="3.7109375" style="2" customWidth="1"/>
    <col min="6404" max="6404" width="1.42578125" style="2" customWidth="1"/>
    <col min="6405" max="6405" width="3.7109375" style="2" customWidth="1"/>
    <col min="6406" max="6406" width="3.28515625" style="2" customWidth="1"/>
    <col min="6407" max="6437" width="3.7109375" style="2" customWidth="1"/>
    <col min="6438" max="6438" width="3" style="2" customWidth="1"/>
    <col min="6439" max="6439" width="3.7109375" style="2" customWidth="1"/>
    <col min="6440" max="6656" width="8.85546875" style="2"/>
    <col min="6657" max="6659" width="3.7109375" style="2" customWidth="1"/>
    <col min="6660" max="6660" width="1.42578125" style="2" customWidth="1"/>
    <col min="6661" max="6661" width="3.7109375" style="2" customWidth="1"/>
    <col min="6662" max="6662" width="3.28515625" style="2" customWidth="1"/>
    <col min="6663" max="6693" width="3.7109375" style="2" customWidth="1"/>
    <col min="6694" max="6694" width="3" style="2" customWidth="1"/>
    <col min="6695" max="6695" width="3.7109375" style="2" customWidth="1"/>
    <col min="6696" max="6912" width="8.85546875" style="2"/>
    <col min="6913" max="6915" width="3.7109375" style="2" customWidth="1"/>
    <col min="6916" max="6916" width="1.42578125" style="2" customWidth="1"/>
    <col min="6917" max="6917" width="3.7109375" style="2" customWidth="1"/>
    <col min="6918" max="6918" width="3.28515625" style="2" customWidth="1"/>
    <col min="6919" max="6949" width="3.7109375" style="2" customWidth="1"/>
    <col min="6950" max="6950" width="3" style="2" customWidth="1"/>
    <col min="6951" max="6951" width="3.7109375" style="2" customWidth="1"/>
    <col min="6952" max="7168" width="8.85546875" style="2"/>
    <col min="7169" max="7171" width="3.7109375" style="2" customWidth="1"/>
    <col min="7172" max="7172" width="1.42578125" style="2" customWidth="1"/>
    <col min="7173" max="7173" width="3.7109375" style="2" customWidth="1"/>
    <col min="7174" max="7174" width="3.28515625" style="2" customWidth="1"/>
    <col min="7175" max="7205" width="3.7109375" style="2" customWidth="1"/>
    <col min="7206" max="7206" width="3" style="2" customWidth="1"/>
    <col min="7207" max="7207" width="3.7109375" style="2" customWidth="1"/>
    <col min="7208" max="7424" width="8.85546875" style="2"/>
    <col min="7425" max="7427" width="3.7109375" style="2" customWidth="1"/>
    <col min="7428" max="7428" width="1.42578125" style="2" customWidth="1"/>
    <col min="7429" max="7429" width="3.7109375" style="2" customWidth="1"/>
    <col min="7430" max="7430" width="3.28515625" style="2" customWidth="1"/>
    <col min="7431" max="7461" width="3.7109375" style="2" customWidth="1"/>
    <col min="7462" max="7462" width="3" style="2" customWidth="1"/>
    <col min="7463" max="7463" width="3.7109375" style="2" customWidth="1"/>
    <col min="7464" max="7680" width="8.85546875" style="2"/>
    <col min="7681" max="7683" width="3.7109375" style="2" customWidth="1"/>
    <col min="7684" max="7684" width="1.42578125" style="2" customWidth="1"/>
    <col min="7685" max="7685" width="3.7109375" style="2" customWidth="1"/>
    <col min="7686" max="7686" width="3.28515625" style="2" customWidth="1"/>
    <col min="7687" max="7717" width="3.7109375" style="2" customWidth="1"/>
    <col min="7718" max="7718" width="3" style="2" customWidth="1"/>
    <col min="7719" max="7719" width="3.7109375" style="2" customWidth="1"/>
    <col min="7720" max="7936" width="8.85546875" style="2"/>
    <col min="7937" max="7939" width="3.7109375" style="2" customWidth="1"/>
    <col min="7940" max="7940" width="1.42578125" style="2" customWidth="1"/>
    <col min="7941" max="7941" width="3.7109375" style="2" customWidth="1"/>
    <col min="7942" max="7942" width="3.28515625" style="2" customWidth="1"/>
    <col min="7943" max="7973" width="3.7109375" style="2" customWidth="1"/>
    <col min="7974" max="7974" width="3" style="2" customWidth="1"/>
    <col min="7975" max="7975" width="3.7109375" style="2" customWidth="1"/>
    <col min="7976" max="8192" width="8.85546875" style="2"/>
    <col min="8193" max="8195" width="3.7109375" style="2" customWidth="1"/>
    <col min="8196" max="8196" width="1.42578125" style="2" customWidth="1"/>
    <col min="8197" max="8197" width="3.7109375" style="2" customWidth="1"/>
    <col min="8198" max="8198" width="3.28515625" style="2" customWidth="1"/>
    <col min="8199" max="8229" width="3.7109375" style="2" customWidth="1"/>
    <col min="8230" max="8230" width="3" style="2" customWidth="1"/>
    <col min="8231" max="8231" width="3.7109375" style="2" customWidth="1"/>
    <col min="8232" max="8448" width="8.85546875" style="2"/>
    <col min="8449" max="8451" width="3.7109375" style="2" customWidth="1"/>
    <col min="8452" max="8452" width="1.42578125" style="2" customWidth="1"/>
    <col min="8453" max="8453" width="3.7109375" style="2" customWidth="1"/>
    <col min="8454" max="8454" width="3.28515625" style="2" customWidth="1"/>
    <col min="8455" max="8485" width="3.7109375" style="2" customWidth="1"/>
    <col min="8486" max="8486" width="3" style="2" customWidth="1"/>
    <col min="8487" max="8487" width="3.7109375" style="2" customWidth="1"/>
    <col min="8488" max="8704" width="8.85546875" style="2"/>
    <col min="8705" max="8707" width="3.7109375" style="2" customWidth="1"/>
    <col min="8708" max="8708" width="1.42578125" style="2" customWidth="1"/>
    <col min="8709" max="8709" width="3.7109375" style="2" customWidth="1"/>
    <col min="8710" max="8710" width="3.28515625" style="2" customWidth="1"/>
    <col min="8711" max="8741" width="3.7109375" style="2" customWidth="1"/>
    <col min="8742" max="8742" width="3" style="2" customWidth="1"/>
    <col min="8743" max="8743" width="3.7109375" style="2" customWidth="1"/>
    <col min="8744" max="8960" width="8.85546875" style="2"/>
    <col min="8961" max="8963" width="3.7109375" style="2" customWidth="1"/>
    <col min="8964" max="8964" width="1.42578125" style="2" customWidth="1"/>
    <col min="8965" max="8965" width="3.7109375" style="2" customWidth="1"/>
    <col min="8966" max="8966" width="3.28515625" style="2" customWidth="1"/>
    <col min="8967" max="8997" width="3.7109375" style="2" customWidth="1"/>
    <col min="8998" max="8998" width="3" style="2" customWidth="1"/>
    <col min="8999" max="8999" width="3.7109375" style="2" customWidth="1"/>
    <col min="9000" max="9216" width="8.85546875" style="2"/>
    <col min="9217" max="9219" width="3.7109375" style="2" customWidth="1"/>
    <col min="9220" max="9220" width="1.42578125" style="2" customWidth="1"/>
    <col min="9221" max="9221" width="3.7109375" style="2" customWidth="1"/>
    <col min="9222" max="9222" width="3.28515625" style="2" customWidth="1"/>
    <col min="9223" max="9253" width="3.7109375" style="2" customWidth="1"/>
    <col min="9254" max="9254" width="3" style="2" customWidth="1"/>
    <col min="9255" max="9255" width="3.7109375" style="2" customWidth="1"/>
    <col min="9256" max="9472" width="8.85546875" style="2"/>
    <col min="9473" max="9475" width="3.7109375" style="2" customWidth="1"/>
    <col min="9476" max="9476" width="1.42578125" style="2" customWidth="1"/>
    <col min="9477" max="9477" width="3.7109375" style="2" customWidth="1"/>
    <col min="9478" max="9478" width="3.28515625" style="2" customWidth="1"/>
    <col min="9479" max="9509" width="3.7109375" style="2" customWidth="1"/>
    <col min="9510" max="9510" width="3" style="2" customWidth="1"/>
    <col min="9511" max="9511" width="3.7109375" style="2" customWidth="1"/>
    <col min="9512" max="9728" width="8.85546875" style="2"/>
    <col min="9729" max="9731" width="3.7109375" style="2" customWidth="1"/>
    <col min="9732" max="9732" width="1.42578125" style="2" customWidth="1"/>
    <col min="9733" max="9733" width="3.7109375" style="2" customWidth="1"/>
    <col min="9734" max="9734" width="3.28515625" style="2" customWidth="1"/>
    <col min="9735" max="9765" width="3.7109375" style="2" customWidth="1"/>
    <col min="9766" max="9766" width="3" style="2" customWidth="1"/>
    <col min="9767" max="9767" width="3.7109375" style="2" customWidth="1"/>
    <col min="9768" max="9984" width="8.85546875" style="2"/>
    <col min="9985" max="9987" width="3.7109375" style="2" customWidth="1"/>
    <col min="9988" max="9988" width="1.42578125" style="2" customWidth="1"/>
    <col min="9989" max="9989" width="3.7109375" style="2" customWidth="1"/>
    <col min="9990" max="9990" width="3.28515625" style="2" customWidth="1"/>
    <col min="9991" max="10021" width="3.7109375" style="2" customWidth="1"/>
    <col min="10022" max="10022" width="3" style="2" customWidth="1"/>
    <col min="10023" max="10023" width="3.7109375" style="2" customWidth="1"/>
    <col min="10024" max="10240" width="8.85546875" style="2"/>
    <col min="10241" max="10243" width="3.7109375" style="2" customWidth="1"/>
    <col min="10244" max="10244" width="1.42578125" style="2" customWidth="1"/>
    <col min="10245" max="10245" width="3.7109375" style="2" customWidth="1"/>
    <col min="10246" max="10246" width="3.28515625" style="2" customWidth="1"/>
    <col min="10247" max="10277" width="3.7109375" style="2" customWidth="1"/>
    <col min="10278" max="10278" width="3" style="2" customWidth="1"/>
    <col min="10279" max="10279" width="3.7109375" style="2" customWidth="1"/>
    <col min="10280" max="10496" width="8.85546875" style="2"/>
    <col min="10497" max="10499" width="3.7109375" style="2" customWidth="1"/>
    <col min="10500" max="10500" width="1.42578125" style="2" customWidth="1"/>
    <col min="10501" max="10501" width="3.7109375" style="2" customWidth="1"/>
    <col min="10502" max="10502" width="3.28515625" style="2" customWidth="1"/>
    <col min="10503" max="10533" width="3.7109375" style="2" customWidth="1"/>
    <col min="10534" max="10534" width="3" style="2" customWidth="1"/>
    <col min="10535" max="10535" width="3.7109375" style="2" customWidth="1"/>
    <col min="10536" max="10752" width="8.85546875" style="2"/>
    <col min="10753" max="10755" width="3.7109375" style="2" customWidth="1"/>
    <col min="10756" max="10756" width="1.42578125" style="2" customWidth="1"/>
    <col min="10757" max="10757" width="3.7109375" style="2" customWidth="1"/>
    <col min="10758" max="10758" width="3.28515625" style="2" customWidth="1"/>
    <col min="10759" max="10789" width="3.7109375" style="2" customWidth="1"/>
    <col min="10790" max="10790" width="3" style="2" customWidth="1"/>
    <col min="10791" max="10791" width="3.7109375" style="2" customWidth="1"/>
    <col min="10792" max="11008" width="8.85546875" style="2"/>
    <col min="11009" max="11011" width="3.7109375" style="2" customWidth="1"/>
    <col min="11012" max="11012" width="1.42578125" style="2" customWidth="1"/>
    <col min="11013" max="11013" width="3.7109375" style="2" customWidth="1"/>
    <col min="11014" max="11014" width="3.28515625" style="2" customWidth="1"/>
    <col min="11015" max="11045" width="3.7109375" style="2" customWidth="1"/>
    <col min="11046" max="11046" width="3" style="2" customWidth="1"/>
    <col min="11047" max="11047" width="3.7109375" style="2" customWidth="1"/>
    <col min="11048" max="11264" width="8.85546875" style="2"/>
    <col min="11265" max="11267" width="3.7109375" style="2" customWidth="1"/>
    <col min="11268" max="11268" width="1.42578125" style="2" customWidth="1"/>
    <col min="11269" max="11269" width="3.7109375" style="2" customWidth="1"/>
    <col min="11270" max="11270" width="3.28515625" style="2" customWidth="1"/>
    <col min="11271" max="11301" width="3.7109375" style="2" customWidth="1"/>
    <col min="11302" max="11302" width="3" style="2" customWidth="1"/>
    <col min="11303" max="11303" width="3.7109375" style="2" customWidth="1"/>
    <col min="11304" max="11520" width="8.85546875" style="2"/>
    <col min="11521" max="11523" width="3.7109375" style="2" customWidth="1"/>
    <col min="11524" max="11524" width="1.42578125" style="2" customWidth="1"/>
    <col min="11525" max="11525" width="3.7109375" style="2" customWidth="1"/>
    <col min="11526" max="11526" width="3.28515625" style="2" customWidth="1"/>
    <col min="11527" max="11557" width="3.7109375" style="2" customWidth="1"/>
    <col min="11558" max="11558" width="3" style="2" customWidth="1"/>
    <col min="11559" max="11559" width="3.7109375" style="2" customWidth="1"/>
    <col min="11560" max="11776" width="8.85546875" style="2"/>
    <col min="11777" max="11779" width="3.7109375" style="2" customWidth="1"/>
    <col min="11780" max="11780" width="1.42578125" style="2" customWidth="1"/>
    <col min="11781" max="11781" width="3.7109375" style="2" customWidth="1"/>
    <col min="11782" max="11782" width="3.28515625" style="2" customWidth="1"/>
    <col min="11783" max="11813" width="3.7109375" style="2" customWidth="1"/>
    <col min="11814" max="11814" width="3" style="2" customWidth="1"/>
    <col min="11815" max="11815" width="3.7109375" style="2" customWidth="1"/>
    <col min="11816" max="12032" width="8.85546875" style="2"/>
    <col min="12033" max="12035" width="3.7109375" style="2" customWidth="1"/>
    <col min="12036" max="12036" width="1.42578125" style="2" customWidth="1"/>
    <col min="12037" max="12037" width="3.7109375" style="2" customWidth="1"/>
    <col min="12038" max="12038" width="3.28515625" style="2" customWidth="1"/>
    <col min="12039" max="12069" width="3.7109375" style="2" customWidth="1"/>
    <col min="12070" max="12070" width="3" style="2" customWidth="1"/>
    <col min="12071" max="12071" width="3.7109375" style="2" customWidth="1"/>
    <col min="12072" max="12288" width="8.85546875" style="2"/>
    <col min="12289" max="12291" width="3.7109375" style="2" customWidth="1"/>
    <col min="12292" max="12292" width="1.42578125" style="2" customWidth="1"/>
    <col min="12293" max="12293" width="3.7109375" style="2" customWidth="1"/>
    <col min="12294" max="12294" width="3.28515625" style="2" customWidth="1"/>
    <col min="12295" max="12325" width="3.7109375" style="2" customWidth="1"/>
    <col min="12326" max="12326" width="3" style="2" customWidth="1"/>
    <col min="12327" max="12327" width="3.7109375" style="2" customWidth="1"/>
    <col min="12328" max="12544" width="8.85546875" style="2"/>
    <col min="12545" max="12547" width="3.7109375" style="2" customWidth="1"/>
    <col min="12548" max="12548" width="1.42578125" style="2" customWidth="1"/>
    <col min="12549" max="12549" width="3.7109375" style="2" customWidth="1"/>
    <col min="12550" max="12550" width="3.28515625" style="2" customWidth="1"/>
    <col min="12551" max="12581" width="3.7109375" style="2" customWidth="1"/>
    <col min="12582" max="12582" width="3" style="2" customWidth="1"/>
    <col min="12583" max="12583" width="3.7109375" style="2" customWidth="1"/>
    <col min="12584" max="12800" width="8.85546875" style="2"/>
    <col min="12801" max="12803" width="3.7109375" style="2" customWidth="1"/>
    <col min="12804" max="12804" width="1.42578125" style="2" customWidth="1"/>
    <col min="12805" max="12805" width="3.7109375" style="2" customWidth="1"/>
    <col min="12806" max="12806" width="3.28515625" style="2" customWidth="1"/>
    <col min="12807" max="12837" width="3.7109375" style="2" customWidth="1"/>
    <col min="12838" max="12838" width="3" style="2" customWidth="1"/>
    <col min="12839" max="12839" width="3.7109375" style="2" customWidth="1"/>
    <col min="12840" max="13056" width="8.85546875" style="2"/>
    <col min="13057" max="13059" width="3.7109375" style="2" customWidth="1"/>
    <col min="13060" max="13060" width="1.42578125" style="2" customWidth="1"/>
    <col min="13061" max="13061" width="3.7109375" style="2" customWidth="1"/>
    <col min="13062" max="13062" width="3.28515625" style="2" customWidth="1"/>
    <col min="13063" max="13093" width="3.7109375" style="2" customWidth="1"/>
    <col min="13094" max="13094" width="3" style="2" customWidth="1"/>
    <col min="13095" max="13095" width="3.7109375" style="2" customWidth="1"/>
    <col min="13096" max="13312" width="8.85546875" style="2"/>
    <col min="13313" max="13315" width="3.7109375" style="2" customWidth="1"/>
    <col min="13316" max="13316" width="1.42578125" style="2" customWidth="1"/>
    <col min="13317" max="13317" width="3.7109375" style="2" customWidth="1"/>
    <col min="13318" max="13318" width="3.28515625" style="2" customWidth="1"/>
    <col min="13319" max="13349" width="3.7109375" style="2" customWidth="1"/>
    <col min="13350" max="13350" width="3" style="2" customWidth="1"/>
    <col min="13351" max="13351" width="3.7109375" style="2" customWidth="1"/>
    <col min="13352" max="13568" width="8.85546875" style="2"/>
    <col min="13569" max="13571" width="3.7109375" style="2" customWidth="1"/>
    <col min="13572" max="13572" width="1.42578125" style="2" customWidth="1"/>
    <col min="13573" max="13573" width="3.7109375" style="2" customWidth="1"/>
    <col min="13574" max="13574" width="3.28515625" style="2" customWidth="1"/>
    <col min="13575" max="13605" width="3.7109375" style="2" customWidth="1"/>
    <col min="13606" max="13606" width="3" style="2" customWidth="1"/>
    <col min="13607" max="13607" width="3.7109375" style="2" customWidth="1"/>
    <col min="13608" max="13824" width="8.85546875" style="2"/>
    <col min="13825" max="13827" width="3.7109375" style="2" customWidth="1"/>
    <col min="13828" max="13828" width="1.42578125" style="2" customWidth="1"/>
    <col min="13829" max="13829" width="3.7109375" style="2" customWidth="1"/>
    <col min="13830" max="13830" width="3.28515625" style="2" customWidth="1"/>
    <col min="13831" max="13861" width="3.7109375" style="2" customWidth="1"/>
    <col min="13862" max="13862" width="3" style="2" customWidth="1"/>
    <col min="13863" max="13863" width="3.7109375" style="2" customWidth="1"/>
    <col min="13864" max="14080" width="8.85546875" style="2"/>
    <col min="14081" max="14083" width="3.7109375" style="2" customWidth="1"/>
    <col min="14084" max="14084" width="1.42578125" style="2" customWidth="1"/>
    <col min="14085" max="14085" width="3.7109375" style="2" customWidth="1"/>
    <col min="14086" max="14086" width="3.28515625" style="2" customWidth="1"/>
    <col min="14087" max="14117" width="3.7109375" style="2" customWidth="1"/>
    <col min="14118" max="14118" width="3" style="2" customWidth="1"/>
    <col min="14119" max="14119" width="3.7109375" style="2" customWidth="1"/>
    <col min="14120" max="14336" width="8.85546875" style="2"/>
    <col min="14337" max="14339" width="3.7109375" style="2" customWidth="1"/>
    <col min="14340" max="14340" width="1.42578125" style="2" customWidth="1"/>
    <col min="14341" max="14341" width="3.7109375" style="2" customWidth="1"/>
    <col min="14342" max="14342" width="3.28515625" style="2" customWidth="1"/>
    <col min="14343" max="14373" width="3.7109375" style="2" customWidth="1"/>
    <col min="14374" max="14374" width="3" style="2" customWidth="1"/>
    <col min="14375" max="14375" width="3.7109375" style="2" customWidth="1"/>
    <col min="14376" max="14592" width="8.85546875" style="2"/>
    <col min="14593" max="14595" width="3.7109375" style="2" customWidth="1"/>
    <col min="14596" max="14596" width="1.42578125" style="2" customWidth="1"/>
    <col min="14597" max="14597" width="3.7109375" style="2" customWidth="1"/>
    <col min="14598" max="14598" width="3.28515625" style="2" customWidth="1"/>
    <col min="14599" max="14629" width="3.7109375" style="2" customWidth="1"/>
    <col min="14630" max="14630" width="3" style="2" customWidth="1"/>
    <col min="14631" max="14631" width="3.7109375" style="2" customWidth="1"/>
    <col min="14632" max="14848" width="8.85546875" style="2"/>
    <col min="14849" max="14851" width="3.7109375" style="2" customWidth="1"/>
    <col min="14852" max="14852" width="1.42578125" style="2" customWidth="1"/>
    <col min="14853" max="14853" width="3.7109375" style="2" customWidth="1"/>
    <col min="14854" max="14854" width="3.28515625" style="2" customWidth="1"/>
    <col min="14855" max="14885" width="3.7109375" style="2" customWidth="1"/>
    <col min="14886" max="14886" width="3" style="2" customWidth="1"/>
    <col min="14887" max="14887" width="3.7109375" style="2" customWidth="1"/>
    <col min="14888" max="15104" width="8.85546875" style="2"/>
    <col min="15105" max="15107" width="3.7109375" style="2" customWidth="1"/>
    <col min="15108" max="15108" width="1.42578125" style="2" customWidth="1"/>
    <col min="15109" max="15109" width="3.7109375" style="2" customWidth="1"/>
    <col min="15110" max="15110" width="3.28515625" style="2" customWidth="1"/>
    <col min="15111" max="15141" width="3.7109375" style="2" customWidth="1"/>
    <col min="15142" max="15142" width="3" style="2" customWidth="1"/>
    <col min="15143" max="15143" width="3.7109375" style="2" customWidth="1"/>
    <col min="15144" max="15360" width="8.85546875" style="2"/>
    <col min="15361" max="15363" width="3.7109375" style="2" customWidth="1"/>
    <col min="15364" max="15364" width="1.42578125" style="2" customWidth="1"/>
    <col min="15365" max="15365" width="3.7109375" style="2" customWidth="1"/>
    <col min="15366" max="15366" width="3.28515625" style="2" customWidth="1"/>
    <col min="15367" max="15397" width="3.7109375" style="2" customWidth="1"/>
    <col min="15398" max="15398" width="3" style="2" customWidth="1"/>
    <col min="15399" max="15399" width="3.7109375" style="2" customWidth="1"/>
    <col min="15400" max="15616" width="8.85546875" style="2"/>
    <col min="15617" max="15619" width="3.7109375" style="2" customWidth="1"/>
    <col min="15620" max="15620" width="1.42578125" style="2" customWidth="1"/>
    <col min="15621" max="15621" width="3.7109375" style="2" customWidth="1"/>
    <col min="15622" max="15622" width="3.28515625" style="2" customWidth="1"/>
    <col min="15623" max="15653" width="3.7109375" style="2" customWidth="1"/>
    <col min="15654" max="15654" width="3" style="2" customWidth="1"/>
    <col min="15655" max="15655" width="3.7109375" style="2" customWidth="1"/>
    <col min="15656" max="15872" width="8.85546875" style="2"/>
    <col min="15873" max="15875" width="3.7109375" style="2" customWidth="1"/>
    <col min="15876" max="15876" width="1.42578125" style="2" customWidth="1"/>
    <col min="15877" max="15877" width="3.7109375" style="2" customWidth="1"/>
    <col min="15878" max="15878" width="3.28515625" style="2" customWidth="1"/>
    <col min="15879" max="15909" width="3.7109375" style="2" customWidth="1"/>
    <col min="15910" max="15910" width="3" style="2" customWidth="1"/>
    <col min="15911" max="15911" width="3.7109375" style="2" customWidth="1"/>
    <col min="15912" max="16128" width="8.85546875" style="2"/>
    <col min="16129" max="16131" width="3.7109375" style="2" customWidth="1"/>
    <col min="16132" max="16132" width="1.42578125" style="2" customWidth="1"/>
    <col min="16133" max="16133" width="3.7109375" style="2" customWidth="1"/>
    <col min="16134" max="16134" width="3.28515625" style="2" customWidth="1"/>
    <col min="16135" max="16165" width="3.7109375" style="2" customWidth="1"/>
    <col min="16166" max="16166" width="3" style="2" customWidth="1"/>
    <col min="16167" max="16167" width="3.7109375" style="2" customWidth="1"/>
    <col min="16168" max="16384" width="8.85546875" style="2"/>
  </cols>
  <sheetData>
    <row r="1" spans="1:39" ht="37.5" customHeight="1" x14ac:dyDescent="0.4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1"/>
      <c r="AM1" s="1"/>
    </row>
    <row r="2" spans="1:39" ht="22.5" customHeight="1" x14ac:dyDescent="0.2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1"/>
      <c r="AM2" s="1"/>
    </row>
    <row r="3" spans="1:39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">
      <c r="A5" s="3" t="s">
        <v>3</v>
      </c>
      <c r="B5" s="3"/>
      <c r="C5" s="3"/>
      <c r="D5" s="3" t="s">
        <v>4</v>
      </c>
      <c r="E5" s="3" t="s">
        <v>30</v>
      </c>
      <c r="F5" s="3"/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">
      <c r="A6" s="3" t="s">
        <v>5</v>
      </c>
      <c r="B6" s="3"/>
      <c r="C6" s="3"/>
      <c r="D6" s="3" t="s">
        <v>4</v>
      </c>
      <c r="E6" s="4" t="s">
        <v>11</v>
      </c>
      <c r="F6" s="4"/>
      <c r="G6" s="3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2.75" customHeight="1" x14ac:dyDescent="0.2">
      <c r="A7" s="3" t="s">
        <v>6</v>
      </c>
      <c r="B7" s="3"/>
      <c r="C7" s="3"/>
      <c r="D7" s="3" t="s">
        <v>4</v>
      </c>
      <c r="E7" s="5" t="s">
        <v>29</v>
      </c>
      <c r="F7" s="5"/>
      <c r="G7" s="6"/>
      <c r="H7" s="6"/>
      <c r="I7" s="6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2.75" customHeight="1" x14ac:dyDescent="0.2">
      <c r="A8" s="3"/>
      <c r="B8" s="3"/>
      <c r="C8" s="3"/>
      <c r="D8" s="3"/>
      <c r="E8" s="5"/>
      <c r="F8" s="5"/>
      <c r="G8" s="6"/>
      <c r="H8" s="6"/>
      <c r="I8" s="7"/>
      <c r="J8" s="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20.100000000000001" hidden="1" customHeight="1" x14ac:dyDescent="0.2">
      <c r="A9" s="1"/>
      <c r="B9" s="1"/>
    </row>
    <row r="10" spans="1:39" ht="20.100000000000001" hidden="1" customHeight="1" x14ac:dyDescent="0.2"/>
    <row r="11" spans="1:39" ht="20.100000000000001" hidden="1" customHeight="1" x14ac:dyDescent="0.2"/>
    <row r="12" spans="1:39" ht="20.100000000000001" hidden="1" customHeight="1" x14ac:dyDescent="0.2">
      <c r="A12" s="8">
        <v>1</v>
      </c>
      <c r="B12" s="52" t="s">
        <v>10</v>
      </c>
      <c r="C12" s="52"/>
      <c r="D12" s="52"/>
      <c r="E12" s="52"/>
      <c r="F12" s="52"/>
      <c r="G12" s="11"/>
      <c r="H12" s="11"/>
      <c r="I12" s="11"/>
      <c r="J12" s="11"/>
      <c r="K12" s="11"/>
    </row>
    <row r="13" spans="1:39" ht="20.100000000000001" hidden="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2"/>
      <c r="AE13" s="12"/>
      <c r="AF13" s="12"/>
      <c r="AG13" s="12"/>
      <c r="AH13" s="12"/>
      <c r="AI13" s="12"/>
      <c r="AJ13" s="12"/>
      <c r="AK13" s="12"/>
      <c r="AL13" s="55"/>
      <c r="AM13" s="55"/>
    </row>
    <row r="14" spans="1:39" ht="12" customHeight="1" x14ac:dyDescent="0.2">
      <c r="A14" s="13"/>
      <c r="B14" s="13"/>
      <c r="C14" s="13"/>
      <c r="D14" s="13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6" spans="1:39" x14ac:dyDescent="0.2">
      <c r="A16" s="52" t="s">
        <v>7</v>
      </c>
      <c r="B16" s="52" t="s">
        <v>8</v>
      </c>
      <c r="C16" s="52"/>
      <c r="D16" s="52"/>
      <c r="E16" s="52"/>
      <c r="F16" s="52"/>
      <c r="G16" s="56">
        <v>46113</v>
      </c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 t="s">
        <v>9</v>
      </c>
      <c r="AM16" s="52"/>
    </row>
    <row r="17" spans="1:39" x14ac:dyDescent="0.2">
      <c r="A17" s="52"/>
      <c r="B17" s="52"/>
      <c r="C17" s="52"/>
      <c r="D17" s="52"/>
      <c r="E17" s="52"/>
      <c r="F17" s="52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2"/>
      <c r="AM17" s="52"/>
    </row>
    <row r="18" spans="1:39" x14ac:dyDescent="0.2">
      <c r="A18" s="52"/>
      <c r="B18" s="52"/>
      <c r="C18" s="52"/>
      <c r="D18" s="52"/>
      <c r="E18" s="52"/>
      <c r="F18" s="52"/>
      <c r="G18" s="9">
        <v>1</v>
      </c>
      <c r="H18" s="9">
        <f t="shared" ref="H18" si="0">G18+1</f>
        <v>2</v>
      </c>
      <c r="I18" s="9">
        <f t="shared" ref="I18" si="1">H18+1</f>
        <v>3</v>
      </c>
      <c r="J18" s="9">
        <f t="shared" ref="J18" si="2">I18+1</f>
        <v>4</v>
      </c>
      <c r="K18" s="9">
        <f t="shared" ref="K18" si="3">J18+1</f>
        <v>5</v>
      </c>
      <c r="L18" s="9">
        <f t="shared" ref="L18" si="4">K18+1</f>
        <v>6</v>
      </c>
      <c r="M18" s="9">
        <f t="shared" ref="M18" si="5">L18+1</f>
        <v>7</v>
      </c>
      <c r="N18" s="9">
        <f t="shared" ref="N18" si="6">M18+1</f>
        <v>8</v>
      </c>
      <c r="O18" s="9">
        <f t="shared" ref="O18" si="7">N18+1</f>
        <v>9</v>
      </c>
      <c r="P18" s="9">
        <f t="shared" ref="P18" si="8">O18+1</f>
        <v>10</v>
      </c>
      <c r="Q18" s="9">
        <f t="shared" ref="Q18" si="9">P18+1</f>
        <v>11</v>
      </c>
      <c r="R18" s="9">
        <f t="shared" ref="R18" si="10">Q18+1</f>
        <v>12</v>
      </c>
      <c r="S18" s="9">
        <f t="shared" ref="S18" si="11">R18+1</f>
        <v>13</v>
      </c>
      <c r="T18" s="9">
        <f t="shared" ref="T18" si="12">S18+1</f>
        <v>14</v>
      </c>
      <c r="U18" s="9">
        <f t="shared" ref="U18" si="13">T18+1</f>
        <v>15</v>
      </c>
      <c r="V18" s="9">
        <f t="shared" ref="V18" si="14">U18+1</f>
        <v>16</v>
      </c>
      <c r="W18" s="9">
        <f t="shared" ref="W18" si="15">V18+1</f>
        <v>17</v>
      </c>
      <c r="X18" s="9">
        <f t="shared" ref="X18" si="16">W18+1</f>
        <v>18</v>
      </c>
      <c r="Y18" s="9">
        <f t="shared" ref="Y18" si="17">X18+1</f>
        <v>19</v>
      </c>
      <c r="Z18" s="9">
        <f t="shared" ref="Z18" si="18">Y18+1</f>
        <v>20</v>
      </c>
      <c r="AA18" s="9">
        <f t="shared" ref="AA18" si="19">Z18+1</f>
        <v>21</v>
      </c>
      <c r="AB18" s="9">
        <f t="shared" ref="AB18" si="20">AA18+1</f>
        <v>22</v>
      </c>
      <c r="AC18" s="9">
        <f t="shared" ref="AC18" si="21">AB18+1</f>
        <v>23</v>
      </c>
      <c r="AD18" s="9">
        <f t="shared" ref="AD18" si="22">AC18+1</f>
        <v>24</v>
      </c>
      <c r="AE18" s="9">
        <f t="shared" ref="AE18" si="23">AD18+1</f>
        <v>25</v>
      </c>
      <c r="AF18" s="9">
        <f t="shared" ref="AF18" si="24">AE18+1</f>
        <v>26</v>
      </c>
      <c r="AG18" s="9">
        <f t="shared" ref="AG18" si="25">AF18+1</f>
        <v>27</v>
      </c>
      <c r="AH18" s="9">
        <f t="shared" ref="AH18" si="26">AG18+1</f>
        <v>28</v>
      </c>
      <c r="AI18" s="9">
        <f t="shared" ref="AI18" si="27">AH18+1</f>
        <v>29</v>
      </c>
      <c r="AJ18" s="9">
        <f t="shared" ref="AJ18" si="28">AI18+1</f>
        <v>30</v>
      </c>
      <c r="AK18" s="9"/>
      <c r="AL18" s="52"/>
      <c r="AM18" s="52"/>
    </row>
    <row r="19" spans="1:39" x14ac:dyDescent="0.2">
      <c r="A19" s="8">
        <v>1</v>
      </c>
      <c r="B19" s="52" t="s">
        <v>38</v>
      </c>
      <c r="C19" s="52"/>
      <c r="D19" s="52"/>
      <c r="E19" s="52"/>
      <c r="F19" s="52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43"/>
      <c r="AB19" s="43"/>
      <c r="AC19" s="43"/>
      <c r="AD19" s="50">
        <v>1</v>
      </c>
      <c r="AE19" s="50">
        <v>1</v>
      </c>
      <c r="AF19" s="50">
        <v>1</v>
      </c>
      <c r="AG19" s="43"/>
      <c r="AH19" s="43"/>
      <c r="AI19" s="50">
        <v>1</v>
      </c>
      <c r="AJ19" s="50">
        <v>1</v>
      </c>
      <c r="AK19" s="10"/>
      <c r="AL19" s="52">
        <f>SUM(G19:AK19)</f>
        <v>5</v>
      </c>
      <c r="AM19" s="52"/>
    </row>
    <row r="21" spans="1:39" x14ac:dyDescent="0.2">
      <c r="A21" s="52" t="s">
        <v>7</v>
      </c>
      <c r="B21" s="52" t="s">
        <v>8</v>
      </c>
      <c r="C21" s="52"/>
      <c r="D21" s="52"/>
      <c r="E21" s="52"/>
      <c r="F21" s="52"/>
      <c r="G21" s="56">
        <v>46143</v>
      </c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 t="s">
        <v>9</v>
      </c>
      <c r="AM21" s="52"/>
    </row>
    <row r="22" spans="1:39" x14ac:dyDescent="0.2">
      <c r="A22" s="52"/>
      <c r="B22" s="52"/>
      <c r="C22" s="52"/>
      <c r="D22" s="52"/>
      <c r="E22" s="52"/>
      <c r="F22" s="52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2"/>
      <c r="AM22" s="52"/>
    </row>
    <row r="23" spans="1:39" x14ac:dyDescent="0.2">
      <c r="A23" s="52"/>
      <c r="B23" s="52"/>
      <c r="C23" s="52"/>
      <c r="D23" s="52"/>
      <c r="E23" s="52"/>
      <c r="F23" s="52"/>
      <c r="G23" s="9">
        <v>1</v>
      </c>
      <c r="H23" s="9">
        <f t="shared" ref="H23" si="29">G23+1</f>
        <v>2</v>
      </c>
      <c r="I23" s="9">
        <f t="shared" ref="I23" si="30">H23+1</f>
        <v>3</v>
      </c>
      <c r="J23" s="9">
        <f t="shared" ref="J23" si="31">I23+1</f>
        <v>4</v>
      </c>
      <c r="K23" s="9">
        <f t="shared" ref="K23" si="32">J23+1</f>
        <v>5</v>
      </c>
      <c r="L23" s="9">
        <f t="shared" ref="L23" si="33">K23+1</f>
        <v>6</v>
      </c>
      <c r="M23" s="9">
        <f t="shared" ref="M23" si="34">L23+1</f>
        <v>7</v>
      </c>
      <c r="N23" s="9">
        <f t="shared" ref="N23" si="35">M23+1</f>
        <v>8</v>
      </c>
      <c r="O23" s="9">
        <f t="shared" ref="O23" si="36">N23+1</f>
        <v>9</v>
      </c>
      <c r="P23" s="9">
        <f t="shared" ref="P23" si="37">O23+1</f>
        <v>10</v>
      </c>
      <c r="Q23" s="9">
        <f t="shared" ref="Q23" si="38">P23+1</f>
        <v>11</v>
      </c>
      <c r="R23" s="9">
        <f t="shared" ref="R23" si="39">Q23+1</f>
        <v>12</v>
      </c>
      <c r="S23" s="9">
        <f t="shared" ref="S23" si="40">R23+1</f>
        <v>13</v>
      </c>
      <c r="T23" s="9">
        <f t="shared" ref="T23" si="41">S23+1</f>
        <v>14</v>
      </c>
      <c r="U23" s="9">
        <f t="shared" ref="U23" si="42">T23+1</f>
        <v>15</v>
      </c>
      <c r="V23" s="9">
        <f t="shared" ref="V23" si="43">U23+1</f>
        <v>16</v>
      </c>
      <c r="W23" s="9">
        <f t="shared" ref="W23" si="44">V23+1</f>
        <v>17</v>
      </c>
      <c r="X23" s="9">
        <f t="shared" ref="X23" si="45">W23+1</f>
        <v>18</v>
      </c>
      <c r="Y23" s="9">
        <f t="shared" ref="Y23" si="46">X23+1</f>
        <v>19</v>
      </c>
      <c r="Z23" s="9">
        <f t="shared" ref="Z23" si="47">Y23+1</f>
        <v>20</v>
      </c>
      <c r="AA23" s="9">
        <f t="shared" ref="AA23" si="48">Z23+1</f>
        <v>21</v>
      </c>
      <c r="AB23" s="9">
        <f t="shared" ref="AB23" si="49">AA23+1</f>
        <v>22</v>
      </c>
      <c r="AC23" s="9">
        <f t="shared" ref="AC23" si="50">AB23+1</f>
        <v>23</v>
      </c>
      <c r="AD23" s="9">
        <f t="shared" ref="AD23" si="51">AC23+1</f>
        <v>24</v>
      </c>
      <c r="AE23" s="9">
        <f t="shared" ref="AE23" si="52">AD23+1</f>
        <v>25</v>
      </c>
      <c r="AF23" s="9">
        <f t="shared" ref="AF23" si="53">AE23+1</f>
        <v>26</v>
      </c>
      <c r="AG23" s="8">
        <f t="shared" ref="AG23" si="54">AF23+1</f>
        <v>27</v>
      </c>
      <c r="AH23" s="9">
        <f t="shared" ref="AH23" si="55">AG23+1</f>
        <v>28</v>
      </c>
      <c r="AI23" s="9">
        <f t="shared" ref="AI23" si="56">AH23+1</f>
        <v>29</v>
      </c>
      <c r="AJ23" s="9">
        <f t="shared" ref="AJ23" si="57">AI23+1</f>
        <v>30</v>
      </c>
      <c r="AK23" s="9">
        <f t="shared" ref="AK23" si="58">AJ23+1</f>
        <v>31</v>
      </c>
      <c r="AL23" s="52"/>
      <c r="AM23" s="52"/>
    </row>
    <row r="24" spans="1:39" x14ac:dyDescent="0.2">
      <c r="A24" s="8">
        <v>1</v>
      </c>
      <c r="B24" s="52" t="s">
        <v>38</v>
      </c>
      <c r="C24" s="52"/>
      <c r="D24" s="52"/>
      <c r="E24" s="52"/>
      <c r="F24" s="52"/>
      <c r="G24" s="50">
        <v>1</v>
      </c>
      <c r="H24" s="43"/>
      <c r="I24" s="50">
        <v>1</v>
      </c>
      <c r="J24" s="50">
        <v>1</v>
      </c>
      <c r="K24" s="50">
        <v>1</v>
      </c>
      <c r="L24" s="50">
        <v>1</v>
      </c>
      <c r="M24" s="43"/>
      <c r="N24" s="43"/>
      <c r="O24" s="43"/>
      <c r="P24" s="43"/>
      <c r="Q24" s="50">
        <v>1</v>
      </c>
      <c r="R24" s="50">
        <v>1</v>
      </c>
      <c r="S24" s="50">
        <v>1</v>
      </c>
      <c r="T24" s="50">
        <v>1</v>
      </c>
      <c r="U24" s="50">
        <v>1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52">
        <f>SUM(G24:AK24)</f>
        <v>10</v>
      </c>
      <c r="AM24" s="52"/>
    </row>
    <row r="25" spans="1:39" ht="15.75" x14ac:dyDescent="0.25">
      <c r="A25" s="64" t="s">
        <v>37</v>
      </c>
      <c r="B25" s="64"/>
      <c r="C25" s="64"/>
      <c r="D25" s="64"/>
      <c r="E25" s="64"/>
      <c r="F25" s="64"/>
      <c r="G25" s="64"/>
      <c r="AF25" s="66" t="s">
        <v>22</v>
      </c>
      <c r="AG25" s="67"/>
      <c r="AH25" s="67"/>
      <c r="AI25" s="67"/>
      <c r="AJ25" s="67"/>
      <c r="AK25" s="68"/>
      <c r="AL25" s="66">
        <f>AL19+AL24</f>
        <v>15</v>
      </c>
      <c r="AM25" s="68"/>
    </row>
    <row r="26" spans="1:39" ht="33" customHeight="1" x14ac:dyDescent="0.25">
      <c r="A26" s="61" t="s">
        <v>36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AF26" s="25"/>
      <c r="AG26" s="25"/>
      <c r="AH26" s="25"/>
      <c r="AI26" s="25"/>
      <c r="AJ26" s="25"/>
      <c r="AK26" s="25"/>
      <c r="AL26" s="25"/>
      <c r="AM26" s="25"/>
    </row>
    <row r="27" spans="1:39" ht="16.5" customHeight="1" x14ac:dyDescent="0.2">
      <c r="A27" s="27">
        <v>1</v>
      </c>
      <c r="B27" s="65" t="s">
        <v>19</v>
      </c>
      <c r="C27" s="65"/>
      <c r="D27" s="65"/>
      <c r="E27" s="65"/>
      <c r="F27" s="1"/>
      <c r="G27" s="1"/>
      <c r="AJ27" s="15"/>
      <c r="AK27" s="15"/>
      <c r="AL27" s="15"/>
      <c r="AM27" s="15"/>
    </row>
    <row r="28" spans="1:39" ht="16.5" customHeight="1" x14ac:dyDescent="0.25">
      <c r="A28" s="40">
        <v>2</v>
      </c>
      <c r="B28" s="65" t="s">
        <v>18</v>
      </c>
      <c r="C28" s="65"/>
      <c r="D28" s="65"/>
      <c r="E28" s="65"/>
      <c r="F28" s="1"/>
      <c r="G28" s="1"/>
      <c r="AB28" s="25"/>
      <c r="AC28" s="25"/>
      <c r="AD28" s="25"/>
      <c r="AE28" s="25"/>
      <c r="AF28" s="25"/>
      <c r="AG28" s="25"/>
      <c r="AH28" s="25"/>
      <c r="AI28" s="25"/>
      <c r="AJ28" s="15"/>
      <c r="AK28" s="15"/>
      <c r="AL28" s="15"/>
      <c r="AM28" s="15"/>
    </row>
    <row r="29" spans="1:39" ht="16.5" customHeight="1" x14ac:dyDescent="0.25">
      <c r="A29" s="41">
        <v>3</v>
      </c>
      <c r="B29" s="65" t="s">
        <v>21</v>
      </c>
      <c r="C29" s="65"/>
      <c r="D29" s="65"/>
      <c r="E29" s="65"/>
      <c r="F29" s="1"/>
      <c r="G29" s="1"/>
      <c r="AB29" s="25"/>
      <c r="AC29" s="25"/>
      <c r="AD29" s="25"/>
      <c r="AE29" s="25"/>
      <c r="AF29" s="25"/>
      <c r="AG29" s="25"/>
      <c r="AH29" s="25"/>
      <c r="AI29" s="25"/>
      <c r="AJ29" s="15"/>
      <c r="AK29" s="15"/>
      <c r="AL29" s="15"/>
      <c r="AM29" s="15"/>
    </row>
    <row r="30" spans="1:39" ht="18" customHeight="1" x14ac:dyDescent="0.2">
      <c r="A30" s="28">
        <v>4</v>
      </c>
      <c r="B30" s="65" t="s">
        <v>20</v>
      </c>
      <c r="C30" s="65"/>
      <c r="D30" s="65"/>
      <c r="E30" s="65"/>
      <c r="F30" s="1"/>
      <c r="G30" s="1"/>
      <c r="H30" s="1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1:39" ht="17.25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spans="1:39" ht="15.75" customHeight="1" x14ac:dyDescent="0.2">
      <c r="A32" s="18"/>
      <c r="B32" s="19"/>
      <c r="C32" s="19"/>
      <c r="D32" s="19"/>
      <c r="E32" s="19"/>
      <c r="F32" s="19"/>
      <c r="N32" s="19"/>
      <c r="O32" s="19"/>
      <c r="P32" s="19"/>
      <c r="Q32" s="19"/>
      <c r="R32" s="19"/>
    </row>
    <row r="33" spans="1:37" ht="22.5" hidden="1" customHeight="1" x14ac:dyDescent="0.2">
      <c r="A33" s="18"/>
      <c r="B33" s="19"/>
      <c r="C33" s="19"/>
      <c r="D33" s="19"/>
      <c r="E33" s="19"/>
      <c r="F33" s="19"/>
      <c r="N33" s="19"/>
      <c r="O33" s="19"/>
      <c r="P33" s="19"/>
      <c r="Q33" s="19"/>
      <c r="R33" s="19"/>
      <c r="S33" s="20"/>
      <c r="T33" s="20"/>
      <c r="U33" s="20"/>
    </row>
    <row r="34" spans="1:37" ht="15" customHeight="1" x14ac:dyDescent="0.2">
      <c r="A34" s="18"/>
      <c r="B34" s="19"/>
      <c r="C34" s="19"/>
      <c r="D34" s="19"/>
      <c r="E34" s="19"/>
      <c r="F34" s="19"/>
      <c r="N34" s="19"/>
      <c r="O34" s="19"/>
      <c r="P34" s="19"/>
      <c r="Q34" s="19"/>
      <c r="R34" s="19"/>
    </row>
    <row r="35" spans="1:37" x14ac:dyDescent="0.2">
      <c r="A35" s="18"/>
      <c r="B35" s="19"/>
      <c r="C35" s="19"/>
      <c r="D35" s="19"/>
      <c r="E35" s="19"/>
      <c r="F35" s="19"/>
      <c r="N35" s="19"/>
      <c r="O35" s="19"/>
      <c r="P35" s="19"/>
      <c r="Q35" s="19"/>
      <c r="R35" s="19"/>
    </row>
    <row r="38" spans="1:37" ht="1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AC38" s="59"/>
      <c r="AD38" s="59"/>
      <c r="AE38" s="59"/>
      <c r="AF38" s="59"/>
      <c r="AG38" s="59"/>
      <c r="AH38" s="59"/>
      <c r="AI38" s="59"/>
      <c r="AJ38" s="59"/>
      <c r="AK38" s="59"/>
    </row>
    <row r="39" spans="1:37" ht="13.5" thickBot="1" x14ac:dyDescent="0.25">
      <c r="A39" s="18"/>
      <c r="B39" s="62" t="s">
        <v>52</v>
      </c>
      <c r="C39" s="63"/>
      <c r="D39" s="63"/>
      <c r="E39" s="63"/>
      <c r="F39" s="63"/>
      <c r="I39" s="69" t="s">
        <v>17</v>
      </c>
      <c r="J39" s="69"/>
      <c r="K39" s="69"/>
      <c r="L39" s="69"/>
      <c r="M39" s="69"/>
      <c r="P39" s="69" t="s">
        <v>31</v>
      </c>
      <c r="Q39" s="69"/>
      <c r="R39" s="69"/>
      <c r="S39" s="69"/>
      <c r="T39" s="69"/>
    </row>
    <row r="40" spans="1:37" x14ac:dyDescent="0.2">
      <c r="A40" s="1"/>
      <c r="B40" s="58" t="s">
        <v>16</v>
      </c>
      <c r="C40" s="58"/>
      <c r="D40" s="58"/>
      <c r="E40" s="58"/>
      <c r="F40" s="58"/>
      <c r="I40" s="60" t="s">
        <v>15</v>
      </c>
      <c r="J40" s="60"/>
      <c r="K40" s="60"/>
      <c r="L40" s="60"/>
      <c r="M40" s="60"/>
      <c r="N40" s="1"/>
      <c r="O40" s="1"/>
      <c r="P40" s="60" t="s">
        <v>32</v>
      </c>
      <c r="Q40" s="60"/>
      <c r="R40" s="60"/>
      <c r="S40" s="60"/>
      <c r="T40" s="60"/>
    </row>
  </sheetData>
  <mergeCells count="33">
    <mergeCell ref="AL24:AM24"/>
    <mergeCell ref="B39:F39"/>
    <mergeCell ref="A25:G25"/>
    <mergeCell ref="B27:E27"/>
    <mergeCell ref="B28:E28"/>
    <mergeCell ref="B29:E29"/>
    <mergeCell ref="AF25:AK25"/>
    <mergeCell ref="AL25:AM25"/>
    <mergeCell ref="I39:M39"/>
    <mergeCell ref="P39:T39"/>
    <mergeCell ref="B30:E30"/>
    <mergeCell ref="B40:F40"/>
    <mergeCell ref="AC38:AK38"/>
    <mergeCell ref="B19:F19"/>
    <mergeCell ref="G22:AK22"/>
    <mergeCell ref="B24:F24"/>
    <mergeCell ref="I40:M40"/>
    <mergeCell ref="P40:T40"/>
    <mergeCell ref="A26:N26"/>
    <mergeCell ref="A21:A23"/>
    <mergeCell ref="B21:F23"/>
    <mergeCell ref="G21:AK21"/>
    <mergeCell ref="AL21:AM23"/>
    <mergeCell ref="AL19:AM19"/>
    <mergeCell ref="A1:AK1"/>
    <mergeCell ref="A2:AK2"/>
    <mergeCell ref="B12:F12"/>
    <mergeCell ref="AL13:AM13"/>
    <mergeCell ref="A16:A18"/>
    <mergeCell ref="B16:F18"/>
    <mergeCell ref="G16:AK16"/>
    <mergeCell ref="AL16:AM18"/>
    <mergeCell ref="G17:AK17"/>
  </mergeCells>
  <printOptions horizontalCentered="1"/>
  <pageMargins left="0.2" right="0.2" top="0.5" bottom="0.5" header="0.3" footer="0.3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99C2-A19C-409E-BD1A-AFD6E3252450}">
  <dimension ref="A1:AM40"/>
  <sheetViews>
    <sheetView topLeftCell="A5" zoomScale="115" zoomScaleNormal="115" zoomScaleSheetLayoutView="100" workbookViewId="0">
      <selection activeCell="M30" sqref="M30"/>
    </sheetView>
  </sheetViews>
  <sheetFormatPr defaultColWidth="8.85546875" defaultRowHeight="12.75" x14ac:dyDescent="0.2"/>
  <cols>
    <col min="1" max="3" width="3.7109375" style="2" customWidth="1"/>
    <col min="4" max="4" width="1.42578125" style="2" customWidth="1"/>
    <col min="5" max="5" width="3.7109375" style="2" customWidth="1"/>
    <col min="6" max="6" width="3.28515625" style="2" customWidth="1"/>
    <col min="7" max="37" width="3.7109375" style="2" customWidth="1"/>
    <col min="38" max="38" width="3" style="2" customWidth="1"/>
    <col min="39" max="39" width="3.7109375" style="2" customWidth="1"/>
    <col min="40" max="256" width="8.85546875" style="2"/>
    <col min="257" max="259" width="3.7109375" style="2" customWidth="1"/>
    <col min="260" max="260" width="1.42578125" style="2" customWidth="1"/>
    <col min="261" max="261" width="3.7109375" style="2" customWidth="1"/>
    <col min="262" max="262" width="3.28515625" style="2" customWidth="1"/>
    <col min="263" max="293" width="3.7109375" style="2" customWidth="1"/>
    <col min="294" max="294" width="3" style="2" customWidth="1"/>
    <col min="295" max="295" width="3.7109375" style="2" customWidth="1"/>
    <col min="296" max="512" width="8.85546875" style="2"/>
    <col min="513" max="515" width="3.7109375" style="2" customWidth="1"/>
    <col min="516" max="516" width="1.42578125" style="2" customWidth="1"/>
    <col min="517" max="517" width="3.7109375" style="2" customWidth="1"/>
    <col min="518" max="518" width="3.28515625" style="2" customWidth="1"/>
    <col min="519" max="549" width="3.7109375" style="2" customWidth="1"/>
    <col min="550" max="550" width="3" style="2" customWidth="1"/>
    <col min="551" max="551" width="3.7109375" style="2" customWidth="1"/>
    <col min="552" max="768" width="8.85546875" style="2"/>
    <col min="769" max="771" width="3.7109375" style="2" customWidth="1"/>
    <col min="772" max="772" width="1.42578125" style="2" customWidth="1"/>
    <col min="773" max="773" width="3.7109375" style="2" customWidth="1"/>
    <col min="774" max="774" width="3.28515625" style="2" customWidth="1"/>
    <col min="775" max="805" width="3.7109375" style="2" customWidth="1"/>
    <col min="806" max="806" width="3" style="2" customWidth="1"/>
    <col min="807" max="807" width="3.7109375" style="2" customWidth="1"/>
    <col min="808" max="1024" width="8.85546875" style="2"/>
    <col min="1025" max="1027" width="3.7109375" style="2" customWidth="1"/>
    <col min="1028" max="1028" width="1.42578125" style="2" customWidth="1"/>
    <col min="1029" max="1029" width="3.7109375" style="2" customWidth="1"/>
    <col min="1030" max="1030" width="3.28515625" style="2" customWidth="1"/>
    <col min="1031" max="1061" width="3.7109375" style="2" customWidth="1"/>
    <col min="1062" max="1062" width="3" style="2" customWidth="1"/>
    <col min="1063" max="1063" width="3.7109375" style="2" customWidth="1"/>
    <col min="1064" max="1280" width="8.85546875" style="2"/>
    <col min="1281" max="1283" width="3.7109375" style="2" customWidth="1"/>
    <col min="1284" max="1284" width="1.42578125" style="2" customWidth="1"/>
    <col min="1285" max="1285" width="3.7109375" style="2" customWidth="1"/>
    <col min="1286" max="1286" width="3.28515625" style="2" customWidth="1"/>
    <col min="1287" max="1317" width="3.7109375" style="2" customWidth="1"/>
    <col min="1318" max="1318" width="3" style="2" customWidth="1"/>
    <col min="1319" max="1319" width="3.7109375" style="2" customWidth="1"/>
    <col min="1320" max="1536" width="8.85546875" style="2"/>
    <col min="1537" max="1539" width="3.7109375" style="2" customWidth="1"/>
    <col min="1540" max="1540" width="1.42578125" style="2" customWidth="1"/>
    <col min="1541" max="1541" width="3.7109375" style="2" customWidth="1"/>
    <col min="1542" max="1542" width="3.28515625" style="2" customWidth="1"/>
    <col min="1543" max="1573" width="3.7109375" style="2" customWidth="1"/>
    <col min="1574" max="1574" width="3" style="2" customWidth="1"/>
    <col min="1575" max="1575" width="3.7109375" style="2" customWidth="1"/>
    <col min="1576" max="1792" width="8.85546875" style="2"/>
    <col min="1793" max="1795" width="3.7109375" style="2" customWidth="1"/>
    <col min="1796" max="1796" width="1.42578125" style="2" customWidth="1"/>
    <col min="1797" max="1797" width="3.7109375" style="2" customWidth="1"/>
    <col min="1798" max="1798" width="3.28515625" style="2" customWidth="1"/>
    <col min="1799" max="1829" width="3.7109375" style="2" customWidth="1"/>
    <col min="1830" max="1830" width="3" style="2" customWidth="1"/>
    <col min="1831" max="1831" width="3.7109375" style="2" customWidth="1"/>
    <col min="1832" max="2048" width="8.85546875" style="2"/>
    <col min="2049" max="2051" width="3.7109375" style="2" customWidth="1"/>
    <col min="2052" max="2052" width="1.42578125" style="2" customWidth="1"/>
    <col min="2053" max="2053" width="3.7109375" style="2" customWidth="1"/>
    <col min="2054" max="2054" width="3.28515625" style="2" customWidth="1"/>
    <col min="2055" max="2085" width="3.7109375" style="2" customWidth="1"/>
    <col min="2086" max="2086" width="3" style="2" customWidth="1"/>
    <col min="2087" max="2087" width="3.7109375" style="2" customWidth="1"/>
    <col min="2088" max="2304" width="8.85546875" style="2"/>
    <col min="2305" max="2307" width="3.7109375" style="2" customWidth="1"/>
    <col min="2308" max="2308" width="1.42578125" style="2" customWidth="1"/>
    <col min="2309" max="2309" width="3.7109375" style="2" customWidth="1"/>
    <col min="2310" max="2310" width="3.28515625" style="2" customWidth="1"/>
    <col min="2311" max="2341" width="3.7109375" style="2" customWidth="1"/>
    <col min="2342" max="2342" width="3" style="2" customWidth="1"/>
    <col min="2343" max="2343" width="3.7109375" style="2" customWidth="1"/>
    <col min="2344" max="2560" width="8.85546875" style="2"/>
    <col min="2561" max="2563" width="3.7109375" style="2" customWidth="1"/>
    <col min="2564" max="2564" width="1.42578125" style="2" customWidth="1"/>
    <col min="2565" max="2565" width="3.7109375" style="2" customWidth="1"/>
    <col min="2566" max="2566" width="3.28515625" style="2" customWidth="1"/>
    <col min="2567" max="2597" width="3.7109375" style="2" customWidth="1"/>
    <col min="2598" max="2598" width="3" style="2" customWidth="1"/>
    <col min="2599" max="2599" width="3.7109375" style="2" customWidth="1"/>
    <col min="2600" max="2816" width="8.85546875" style="2"/>
    <col min="2817" max="2819" width="3.7109375" style="2" customWidth="1"/>
    <col min="2820" max="2820" width="1.42578125" style="2" customWidth="1"/>
    <col min="2821" max="2821" width="3.7109375" style="2" customWidth="1"/>
    <col min="2822" max="2822" width="3.28515625" style="2" customWidth="1"/>
    <col min="2823" max="2853" width="3.7109375" style="2" customWidth="1"/>
    <col min="2854" max="2854" width="3" style="2" customWidth="1"/>
    <col min="2855" max="2855" width="3.7109375" style="2" customWidth="1"/>
    <col min="2856" max="3072" width="8.85546875" style="2"/>
    <col min="3073" max="3075" width="3.7109375" style="2" customWidth="1"/>
    <col min="3076" max="3076" width="1.42578125" style="2" customWidth="1"/>
    <col min="3077" max="3077" width="3.7109375" style="2" customWidth="1"/>
    <col min="3078" max="3078" width="3.28515625" style="2" customWidth="1"/>
    <col min="3079" max="3109" width="3.7109375" style="2" customWidth="1"/>
    <col min="3110" max="3110" width="3" style="2" customWidth="1"/>
    <col min="3111" max="3111" width="3.7109375" style="2" customWidth="1"/>
    <col min="3112" max="3328" width="8.85546875" style="2"/>
    <col min="3329" max="3331" width="3.7109375" style="2" customWidth="1"/>
    <col min="3332" max="3332" width="1.42578125" style="2" customWidth="1"/>
    <col min="3333" max="3333" width="3.7109375" style="2" customWidth="1"/>
    <col min="3334" max="3334" width="3.28515625" style="2" customWidth="1"/>
    <col min="3335" max="3365" width="3.7109375" style="2" customWidth="1"/>
    <col min="3366" max="3366" width="3" style="2" customWidth="1"/>
    <col min="3367" max="3367" width="3.7109375" style="2" customWidth="1"/>
    <col min="3368" max="3584" width="8.85546875" style="2"/>
    <col min="3585" max="3587" width="3.7109375" style="2" customWidth="1"/>
    <col min="3588" max="3588" width="1.42578125" style="2" customWidth="1"/>
    <col min="3589" max="3589" width="3.7109375" style="2" customWidth="1"/>
    <col min="3590" max="3590" width="3.28515625" style="2" customWidth="1"/>
    <col min="3591" max="3621" width="3.7109375" style="2" customWidth="1"/>
    <col min="3622" max="3622" width="3" style="2" customWidth="1"/>
    <col min="3623" max="3623" width="3.7109375" style="2" customWidth="1"/>
    <col min="3624" max="3840" width="8.85546875" style="2"/>
    <col min="3841" max="3843" width="3.7109375" style="2" customWidth="1"/>
    <col min="3844" max="3844" width="1.42578125" style="2" customWidth="1"/>
    <col min="3845" max="3845" width="3.7109375" style="2" customWidth="1"/>
    <col min="3846" max="3846" width="3.28515625" style="2" customWidth="1"/>
    <col min="3847" max="3877" width="3.7109375" style="2" customWidth="1"/>
    <col min="3878" max="3878" width="3" style="2" customWidth="1"/>
    <col min="3879" max="3879" width="3.7109375" style="2" customWidth="1"/>
    <col min="3880" max="4096" width="8.85546875" style="2"/>
    <col min="4097" max="4099" width="3.7109375" style="2" customWidth="1"/>
    <col min="4100" max="4100" width="1.42578125" style="2" customWidth="1"/>
    <col min="4101" max="4101" width="3.7109375" style="2" customWidth="1"/>
    <col min="4102" max="4102" width="3.28515625" style="2" customWidth="1"/>
    <col min="4103" max="4133" width="3.7109375" style="2" customWidth="1"/>
    <col min="4134" max="4134" width="3" style="2" customWidth="1"/>
    <col min="4135" max="4135" width="3.7109375" style="2" customWidth="1"/>
    <col min="4136" max="4352" width="8.85546875" style="2"/>
    <col min="4353" max="4355" width="3.7109375" style="2" customWidth="1"/>
    <col min="4356" max="4356" width="1.42578125" style="2" customWidth="1"/>
    <col min="4357" max="4357" width="3.7109375" style="2" customWidth="1"/>
    <col min="4358" max="4358" width="3.28515625" style="2" customWidth="1"/>
    <col min="4359" max="4389" width="3.7109375" style="2" customWidth="1"/>
    <col min="4390" max="4390" width="3" style="2" customWidth="1"/>
    <col min="4391" max="4391" width="3.7109375" style="2" customWidth="1"/>
    <col min="4392" max="4608" width="8.85546875" style="2"/>
    <col min="4609" max="4611" width="3.7109375" style="2" customWidth="1"/>
    <col min="4612" max="4612" width="1.42578125" style="2" customWidth="1"/>
    <col min="4613" max="4613" width="3.7109375" style="2" customWidth="1"/>
    <col min="4614" max="4614" width="3.28515625" style="2" customWidth="1"/>
    <col min="4615" max="4645" width="3.7109375" style="2" customWidth="1"/>
    <col min="4646" max="4646" width="3" style="2" customWidth="1"/>
    <col min="4647" max="4647" width="3.7109375" style="2" customWidth="1"/>
    <col min="4648" max="4864" width="8.85546875" style="2"/>
    <col min="4865" max="4867" width="3.7109375" style="2" customWidth="1"/>
    <col min="4868" max="4868" width="1.42578125" style="2" customWidth="1"/>
    <col min="4869" max="4869" width="3.7109375" style="2" customWidth="1"/>
    <col min="4870" max="4870" width="3.28515625" style="2" customWidth="1"/>
    <col min="4871" max="4901" width="3.7109375" style="2" customWidth="1"/>
    <col min="4902" max="4902" width="3" style="2" customWidth="1"/>
    <col min="4903" max="4903" width="3.7109375" style="2" customWidth="1"/>
    <col min="4904" max="5120" width="8.85546875" style="2"/>
    <col min="5121" max="5123" width="3.7109375" style="2" customWidth="1"/>
    <col min="5124" max="5124" width="1.42578125" style="2" customWidth="1"/>
    <col min="5125" max="5125" width="3.7109375" style="2" customWidth="1"/>
    <col min="5126" max="5126" width="3.28515625" style="2" customWidth="1"/>
    <col min="5127" max="5157" width="3.7109375" style="2" customWidth="1"/>
    <col min="5158" max="5158" width="3" style="2" customWidth="1"/>
    <col min="5159" max="5159" width="3.7109375" style="2" customWidth="1"/>
    <col min="5160" max="5376" width="8.85546875" style="2"/>
    <col min="5377" max="5379" width="3.7109375" style="2" customWidth="1"/>
    <col min="5380" max="5380" width="1.42578125" style="2" customWidth="1"/>
    <col min="5381" max="5381" width="3.7109375" style="2" customWidth="1"/>
    <col min="5382" max="5382" width="3.28515625" style="2" customWidth="1"/>
    <col min="5383" max="5413" width="3.7109375" style="2" customWidth="1"/>
    <col min="5414" max="5414" width="3" style="2" customWidth="1"/>
    <col min="5415" max="5415" width="3.7109375" style="2" customWidth="1"/>
    <col min="5416" max="5632" width="8.85546875" style="2"/>
    <col min="5633" max="5635" width="3.7109375" style="2" customWidth="1"/>
    <col min="5636" max="5636" width="1.42578125" style="2" customWidth="1"/>
    <col min="5637" max="5637" width="3.7109375" style="2" customWidth="1"/>
    <col min="5638" max="5638" width="3.28515625" style="2" customWidth="1"/>
    <col min="5639" max="5669" width="3.7109375" style="2" customWidth="1"/>
    <col min="5670" max="5670" width="3" style="2" customWidth="1"/>
    <col min="5671" max="5671" width="3.7109375" style="2" customWidth="1"/>
    <col min="5672" max="5888" width="8.85546875" style="2"/>
    <col min="5889" max="5891" width="3.7109375" style="2" customWidth="1"/>
    <col min="5892" max="5892" width="1.42578125" style="2" customWidth="1"/>
    <col min="5893" max="5893" width="3.7109375" style="2" customWidth="1"/>
    <col min="5894" max="5894" width="3.28515625" style="2" customWidth="1"/>
    <col min="5895" max="5925" width="3.7109375" style="2" customWidth="1"/>
    <col min="5926" max="5926" width="3" style="2" customWidth="1"/>
    <col min="5927" max="5927" width="3.7109375" style="2" customWidth="1"/>
    <col min="5928" max="6144" width="8.85546875" style="2"/>
    <col min="6145" max="6147" width="3.7109375" style="2" customWidth="1"/>
    <col min="6148" max="6148" width="1.42578125" style="2" customWidth="1"/>
    <col min="6149" max="6149" width="3.7109375" style="2" customWidth="1"/>
    <col min="6150" max="6150" width="3.28515625" style="2" customWidth="1"/>
    <col min="6151" max="6181" width="3.7109375" style="2" customWidth="1"/>
    <col min="6182" max="6182" width="3" style="2" customWidth="1"/>
    <col min="6183" max="6183" width="3.7109375" style="2" customWidth="1"/>
    <col min="6184" max="6400" width="8.85546875" style="2"/>
    <col min="6401" max="6403" width="3.7109375" style="2" customWidth="1"/>
    <col min="6404" max="6404" width="1.42578125" style="2" customWidth="1"/>
    <col min="6405" max="6405" width="3.7109375" style="2" customWidth="1"/>
    <col min="6406" max="6406" width="3.28515625" style="2" customWidth="1"/>
    <col min="6407" max="6437" width="3.7109375" style="2" customWidth="1"/>
    <col min="6438" max="6438" width="3" style="2" customWidth="1"/>
    <col min="6439" max="6439" width="3.7109375" style="2" customWidth="1"/>
    <col min="6440" max="6656" width="8.85546875" style="2"/>
    <col min="6657" max="6659" width="3.7109375" style="2" customWidth="1"/>
    <col min="6660" max="6660" width="1.42578125" style="2" customWidth="1"/>
    <col min="6661" max="6661" width="3.7109375" style="2" customWidth="1"/>
    <col min="6662" max="6662" width="3.28515625" style="2" customWidth="1"/>
    <col min="6663" max="6693" width="3.7109375" style="2" customWidth="1"/>
    <col min="6694" max="6694" width="3" style="2" customWidth="1"/>
    <col min="6695" max="6695" width="3.7109375" style="2" customWidth="1"/>
    <col min="6696" max="6912" width="8.85546875" style="2"/>
    <col min="6913" max="6915" width="3.7109375" style="2" customWidth="1"/>
    <col min="6916" max="6916" width="1.42578125" style="2" customWidth="1"/>
    <col min="6917" max="6917" width="3.7109375" style="2" customWidth="1"/>
    <col min="6918" max="6918" width="3.28515625" style="2" customWidth="1"/>
    <col min="6919" max="6949" width="3.7109375" style="2" customWidth="1"/>
    <col min="6950" max="6950" width="3" style="2" customWidth="1"/>
    <col min="6951" max="6951" width="3.7109375" style="2" customWidth="1"/>
    <col min="6952" max="7168" width="8.85546875" style="2"/>
    <col min="7169" max="7171" width="3.7109375" style="2" customWidth="1"/>
    <col min="7172" max="7172" width="1.42578125" style="2" customWidth="1"/>
    <col min="7173" max="7173" width="3.7109375" style="2" customWidth="1"/>
    <col min="7174" max="7174" width="3.28515625" style="2" customWidth="1"/>
    <col min="7175" max="7205" width="3.7109375" style="2" customWidth="1"/>
    <col min="7206" max="7206" width="3" style="2" customWidth="1"/>
    <col min="7207" max="7207" width="3.7109375" style="2" customWidth="1"/>
    <col min="7208" max="7424" width="8.85546875" style="2"/>
    <col min="7425" max="7427" width="3.7109375" style="2" customWidth="1"/>
    <col min="7428" max="7428" width="1.42578125" style="2" customWidth="1"/>
    <col min="7429" max="7429" width="3.7109375" style="2" customWidth="1"/>
    <col min="7430" max="7430" width="3.28515625" style="2" customWidth="1"/>
    <col min="7431" max="7461" width="3.7109375" style="2" customWidth="1"/>
    <col min="7462" max="7462" width="3" style="2" customWidth="1"/>
    <col min="7463" max="7463" width="3.7109375" style="2" customWidth="1"/>
    <col min="7464" max="7680" width="8.85546875" style="2"/>
    <col min="7681" max="7683" width="3.7109375" style="2" customWidth="1"/>
    <col min="7684" max="7684" width="1.42578125" style="2" customWidth="1"/>
    <col min="7685" max="7685" width="3.7109375" style="2" customWidth="1"/>
    <col min="7686" max="7686" width="3.28515625" style="2" customWidth="1"/>
    <col min="7687" max="7717" width="3.7109375" style="2" customWidth="1"/>
    <col min="7718" max="7718" width="3" style="2" customWidth="1"/>
    <col min="7719" max="7719" width="3.7109375" style="2" customWidth="1"/>
    <col min="7720" max="7936" width="8.85546875" style="2"/>
    <col min="7937" max="7939" width="3.7109375" style="2" customWidth="1"/>
    <col min="7940" max="7940" width="1.42578125" style="2" customWidth="1"/>
    <col min="7941" max="7941" width="3.7109375" style="2" customWidth="1"/>
    <col min="7942" max="7942" width="3.28515625" style="2" customWidth="1"/>
    <col min="7943" max="7973" width="3.7109375" style="2" customWidth="1"/>
    <col min="7974" max="7974" width="3" style="2" customWidth="1"/>
    <col min="7975" max="7975" width="3.7109375" style="2" customWidth="1"/>
    <col min="7976" max="8192" width="8.85546875" style="2"/>
    <col min="8193" max="8195" width="3.7109375" style="2" customWidth="1"/>
    <col min="8196" max="8196" width="1.42578125" style="2" customWidth="1"/>
    <col min="8197" max="8197" width="3.7109375" style="2" customWidth="1"/>
    <col min="8198" max="8198" width="3.28515625" style="2" customWidth="1"/>
    <col min="8199" max="8229" width="3.7109375" style="2" customWidth="1"/>
    <col min="8230" max="8230" width="3" style="2" customWidth="1"/>
    <col min="8231" max="8231" width="3.7109375" style="2" customWidth="1"/>
    <col min="8232" max="8448" width="8.85546875" style="2"/>
    <col min="8449" max="8451" width="3.7109375" style="2" customWidth="1"/>
    <col min="8452" max="8452" width="1.42578125" style="2" customWidth="1"/>
    <col min="8453" max="8453" width="3.7109375" style="2" customWidth="1"/>
    <col min="8454" max="8454" width="3.28515625" style="2" customWidth="1"/>
    <col min="8455" max="8485" width="3.7109375" style="2" customWidth="1"/>
    <col min="8486" max="8486" width="3" style="2" customWidth="1"/>
    <col min="8487" max="8487" width="3.7109375" style="2" customWidth="1"/>
    <col min="8488" max="8704" width="8.85546875" style="2"/>
    <col min="8705" max="8707" width="3.7109375" style="2" customWidth="1"/>
    <col min="8708" max="8708" width="1.42578125" style="2" customWidth="1"/>
    <col min="8709" max="8709" width="3.7109375" style="2" customWidth="1"/>
    <col min="8710" max="8710" width="3.28515625" style="2" customWidth="1"/>
    <col min="8711" max="8741" width="3.7109375" style="2" customWidth="1"/>
    <col min="8742" max="8742" width="3" style="2" customWidth="1"/>
    <col min="8743" max="8743" width="3.7109375" style="2" customWidth="1"/>
    <col min="8744" max="8960" width="8.85546875" style="2"/>
    <col min="8961" max="8963" width="3.7109375" style="2" customWidth="1"/>
    <col min="8964" max="8964" width="1.42578125" style="2" customWidth="1"/>
    <col min="8965" max="8965" width="3.7109375" style="2" customWidth="1"/>
    <col min="8966" max="8966" width="3.28515625" style="2" customWidth="1"/>
    <col min="8967" max="8997" width="3.7109375" style="2" customWidth="1"/>
    <col min="8998" max="8998" width="3" style="2" customWidth="1"/>
    <col min="8999" max="8999" width="3.7109375" style="2" customWidth="1"/>
    <col min="9000" max="9216" width="8.85546875" style="2"/>
    <col min="9217" max="9219" width="3.7109375" style="2" customWidth="1"/>
    <col min="9220" max="9220" width="1.42578125" style="2" customWidth="1"/>
    <col min="9221" max="9221" width="3.7109375" style="2" customWidth="1"/>
    <col min="9222" max="9222" width="3.28515625" style="2" customWidth="1"/>
    <col min="9223" max="9253" width="3.7109375" style="2" customWidth="1"/>
    <col min="9254" max="9254" width="3" style="2" customWidth="1"/>
    <col min="9255" max="9255" width="3.7109375" style="2" customWidth="1"/>
    <col min="9256" max="9472" width="8.85546875" style="2"/>
    <col min="9473" max="9475" width="3.7109375" style="2" customWidth="1"/>
    <col min="9476" max="9476" width="1.42578125" style="2" customWidth="1"/>
    <col min="9477" max="9477" width="3.7109375" style="2" customWidth="1"/>
    <col min="9478" max="9478" width="3.28515625" style="2" customWidth="1"/>
    <col min="9479" max="9509" width="3.7109375" style="2" customWidth="1"/>
    <col min="9510" max="9510" width="3" style="2" customWidth="1"/>
    <col min="9511" max="9511" width="3.7109375" style="2" customWidth="1"/>
    <col min="9512" max="9728" width="8.85546875" style="2"/>
    <col min="9729" max="9731" width="3.7109375" style="2" customWidth="1"/>
    <col min="9732" max="9732" width="1.42578125" style="2" customWidth="1"/>
    <col min="9733" max="9733" width="3.7109375" style="2" customWidth="1"/>
    <col min="9734" max="9734" width="3.28515625" style="2" customWidth="1"/>
    <col min="9735" max="9765" width="3.7109375" style="2" customWidth="1"/>
    <col min="9766" max="9766" width="3" style="2" customWidth="1"/>
    <col min="9767" max="9767" width="3.7109375" style="2" customWidth="1"/>
    <col min="9768" max="9984" width="8.85546875" style="2"/>
    <col min="9985" max="9987" width="3.7109375" style="2" customWidth="1"/>
    <col min="9988" max="9988" width="1.42578125" style="2" customWidth="1"/>
    <col min="9989" max="9989" width="3.7109375" style="2" customWidth="1"/>
    <col min="9990" max="9990" width="3.28515625" style="2" customWidth="1"/>
    <col min="9991" max="10021" width="3.7109375" style="2" customWidth="1"/>
    <col min="10022" max="10022" width="3" style="2" customWidth="1"/>
    <col min="10023" max="10023" width="3.7109375" style="2" customWidth="1"/>
    <col min="10024" max="10240" width="8.85546875" style="2"/>
    <col min="10241" max="10243" width="3.7109375" style="2" customWidth="1"/>
    <col min="10244" max="10244" width="1.42578125" style="2" customWidth="1"/>
    <col min="10245" max="10245" width="3.7109375" style="2" customWidth="1"/>
    <col min="10246" max="10246" width="3.28515625" style="2" customWidth="1"/>
    <col min="10247" max="10277" width="3.7109375" style="2" customWidth="1"/>
    <col min="10278" max="10278" width="3" style="2" customWidth="1"/>
    <col min="10279" max="10279" width="3.7109375" style="2" customWidth="1"/>
    <col min="10280" max="10496" width="8.85546875" style="2"/>
    <col min="10497" max="10499" width="3.7109375" style="2" customWidth="1"/>
    <col min="10500" max="10500" width="1.42578125" style="2" customWidth="1"/>
    <col min="10501" max="10501" width="3.7109375" style="2" customWidth="1"/>
    <col min="10502" max="10502" width="3.28515625" style="2" customWidth="1"/>
    <col min="10503" max="10533" width="3.7109375" style="2" customWidth="1"/>
    <col min="10534" max="10534" width="3" style="2" customWidth="1"/>
    <col min="10535" max="10535" width="3.7109375" style="2" customWidth="1"/>
    <col min="10536" max="10752" width="8.85546875" style="2"/>
    <col min="10753" max="10755" width="3.7109375" style="2" customWidth="1"/>
    <col min="10756" max="10756" width="1.42578125" style="2" customWidth="1"/>
    <col min="10757" max="10757" width="3.7109375" style="2" customWidth="1"/>
    <col min="10758" max="10758" width="3.28515625" style="2" customWidth="1"/>
    <col min="10759" max="10789" width="3.7109375" style="2" customWidth="1"/>
    <col min="10790" max="10790" width="3" style="2" customWidth="1"/>
    <col min="10791" max="10791" width="3.7109375" style="2" customWidth="1"/>
    <col min="10792" max="11008" width="8.85546875" style="2"/>
    <col min="11009" max="11011" width="3.7109375" style="2" customWidth="1"/>
    <col min="11012" max="11012" width="1.42578125" style="2" customWidth="1"/>
    <col min="11013" max="11013" width="3.7109375" style="2" customWidth="1"/>
    <col min="11014" max="11014" width="3.28515625" style="2" customWidth="1"/>
    <col min="11015" max="11045" width="3.7109375" style="2" customWidth="1"/>
    <col min="11046" max="11046" width="3" style="2" customWidth="1"/>
    <col min="11047" max="11047" width="3.7109375" style="2" customWidth="1"/>
    <col min="11048" max="11264" width="8.85546875" style="2"/>
    <col min="11265" max="11267" width="3.7109375" style="2" customWidth="1"/>
    <col min="11268" max="11268" width="1.42578125" style="2" customWidth="1"/>
    <col min="11269" max="11269" width="3.7109375" style="2" customWidth="1"/>
    <col min="11270" max="11270" width="3.28515625" style="2" customWidth="1"/>
    <col min="11271" max="11301" width="3.7109375" style="2" customWidth="1"/>
    <col min="11302" max="11302" width="3" style="2" customWidth="1"/>
    <col min="11303" max="11303" width="3.7109375" style="2" customWidth="1"/>
    <col min="11304" max="11520" width="8.85546875" style="2"/>
    <col min="11521" max="11523" width="3.7109375" style="2" customWidth="1"/>
    <col min="11524" max="11524" width="1.42578125" style="2" customWidth="1"/>
    <col min="11525" max="11525" width="3.7109375" style="2" customWidth="1"/>
    <col min="11526" max="11526" width="3.28515625" style="2" customWidth="1"/>
    <col min="11527" max="11557" width="3.7109375" style="2" customWidth="1"/>
    <col min="11558" max="11558" width="3" style="2" customWidth="1"/>
    <col min="11559" max="11559" width="3.7109375" style="2" customWidth="1"/>
    <col min="11560" max="11776" width="8.85546875" style="2"/>
    <col min="11777" max="11779" width="3.7109375" style="2" customWidth="1"/>
    <col min="11780" max="11780" width="1.42578125" style="2" customWidth="1"/>
    <col min="11781" max="11781" width="3.7109375" style="2" customWidth="1"/>
    <col min="11782" max="11782" width="3.28515625" style="2" customWidth="1"/>
    <col min="11783" max="11813" width="3.7109375" style="2" customWidth="1"/>
    <col min="11814" max="11814" width="3" style="2" customWidth="1"/>
    <col min="11815" max="11815" width="3.7109375" style="2" customWidth="1"/>
    <col min="11816" max="12032" width="8.85546875" style="2"/>
    <col min="12033" max="12035" width="3.7109375" style="2" customWidth="1"/>
    <col min="12036" max="12036" width="1.42578125" style="2" customWidth="1"/>
    <col min="12037" max="12037" width="3.7109375" style="2" customWidth="1"/>
    <col min="12038" max="12038" width="3.28515625" style="2" customWidth="1"/>
    <col min="12039" max="12069" width="3.7109375" style="2" customWidth="1"/>
    <col min="12070" max="12070" width="3" style="2" customWidth="1"/>
    <col min="12071" max="12071" width="3.7109375" style="2" customWidth="1"/>
    <col min="12072" max="12288" width="8.85546875" style="2"/>
    <col min="12289" max="12291" width="3.7109375" style="2" customWidth="1"/>
    <col min="12292" max="12292" width="1.42578125" style="2" customWidth="1"/>
    <col min="12293" max="12293" width="3.7109375" style="2" customWidth="1"/>
    <col min="12294" max="12294" width="3.28515625" style="2" customWidth="1"/>
    <col min="12295" max="12325" width="3.7109375" style="2" customWidth="1"/>
    <col min="12326" max="12326" width="3" style="2" customWidth="1"/>
    <col min="12327" max="12327" width="3.7109375" style="2" customWidth="1"/>
    <col min="12328" max="12544" width="8.85546875" style="2"/>
    <col min="12545" max="12547" width="3.7109375" style="2" customWidth="1"/>
    <col min="12548" max="12548" width="1.42578125" style="2" customWidth="1"/>
    <col min="12549" max="12549" width="3.7109375" style="2" customWidth="1"/>
    <col min="12550" max="12550" width="3.28515625" style="2" customWidth="1"/>
    <col min="12551" max="12581" width="3.7109375" style="2" customWidth="1"/>
    <col min="12582" max="12582" width="3" style="2" customWidth="1"/>
    <col min="12583" max="12583" width="3.7109375" style="2" customWidth="1"/>
    <col min="12584" max="12800" width="8.85546875" style="2"/>
    <col min="12801" max="12803" width="3.7109375" style="2" customWidth="1"/>
    <col min="12804" max="12804" width="1.42578125" style="2" customWidth="1"/>
    <col min="12805" max="12805" width="3.7109375" style="2" customWidth="1"/>
    <col min="12806" max="12806" width="3.28515625" style="2" customWidth="1"/>
    <col min="12807" max="12837" width="3.7109375" style="2" customWidth="1"/>
    <col min="12838" max="12838" width="3" style="2" customWidth="1"/>
    <col min="12839" max="12839" width="3.7109375" style="2" customWidth="1"/>
    <col min="12840" max="13056" width="8.85546875" style="2"/>
    <col min="13057" max="13059" width="3.7109375" style="2" customWidth="1"/>
    <col min="13060" max="13060" width="1.42578125" style="2" customWidth="1"/>
    <col min="13061" max="13061" width="3.7109375" style="2" customWidth="1"/>
    <col min="13062" max="13062" width="3.28515625" style="2" customWidth="1"/>
    <col min="13063" max="13093" width="3.7109375" style="2" customWidth="1"/>
    <col min="13094" max="13094" width="3" style="2" customWidth="1"/>
    <col min="13095" max="13095" width="3.7109375" style="2" customWidth="1"/>
    <col min="13096" max="13312" width="8.85546875" style="2"/>
    <col min="13313" max="13315" width="3.7109375" style="2" customWidth="1"/>
    <col min="13316" max="13316" width="1.42578125" style="2" customWidth="1"/>
    <col min="13317" max="13317" width="3.7109375" style="2" customWidth="1"/>
    <col min="13318" max="13318" width="3.28515625" style="2" customWidth="1"/>
    <col min="13319" max="13349" width="3.7109375" style="2" customWidth="1"/>
    <col min="13350" max="13350" width="3" style="2" customWidth="1"/>
    <col min="13351" max="13351" width="3.7109375" style="2" customWidth="1"/>
    <col min="13352" max="13568" width="8.85546875" style="2"/>
    <col min="13569" max="13571" width="3.7109375" style="2" customWidth="1"/>
    <col min="13572" max="13572" width="1.42578125" style="2" customWidth="1"/>
    <col min="13573" max="13573" width="3.7109375" style="2" customWidth="1"/>
    <col min="13574" max="13574" width="3.28515625" style="2" customWidth="1"/>
    <col min="13575" max="13605" width="3.7109375" style="2" customWidth="1"/>
    <col min="13606" max="13606" width="3" style="2" customWidth="1"/>
    <col min="13607" max="13607" width="3.7109375" style="2" customWidth="1"/>
    <col min="13608" max="13824" width="8.85546875" style="2"/>
    <col min="13825" max="13827" width="3.7109375" style="2" customWidth="1"/>
    <col min="13828" max="13828" width="1.42578125" style="2" customWidth="1"/>
    <col min="13829" max="13829" width="3.7109375" style="2" customWidth="1"/>
    <col min="13830" max="13830" width="3.28515625" style="2" customWidth="1"/>
    <col min="13831" max="13861" width="3.7109375" style="2" customWidth="1"/>
    <col min="13862" max="13862" width="3" style="2" customWidth="1"/>
    <col min="13863" max="13863" width="3.7109375" style="2" customWidth="1"/>
    <col min="13864" max="14080" width="8.85546875" style="2"/>
    <col min="14081" max="14083" width="3.7109375" style="2" customWidth="1"/>
    <col min="14084" max="14084" width="1.42578125" style="2" customWidth="1"/>
    <col min="14085" max="14085" width="3.7109375" style="2" customWidth="1"/>
    <col min="14086" max="14086" width="3.28515625" style="2" customWidth="1"/>
    <col min="14087" max="14117" width="3.7109375" style="2" customWidth="1"/>
    <col min="14118" max="14118" width="3" style="2" customWidth="1"/>
    <col min="14119" max="14119" width="3.7109375" style="2" customWidth="1"/>
    <col min="14120" max="14336" width="8.85546875" style="2"/>
    <col min="14337" max="14339" width="3.7109375" style="2" customWidth="1"/>
    <col min="14340" max="14340" width="1.42578125" style="2" customWidth="1"/>
    <col min="14341" max="14341" width="3.7109375" style="2" customWidth="1"/>
    <col min="14342" max="14342" width="3.28515625" style="2" customWidth="1"/>
    <col min="14343" max="14373" width="3.7109375" style="2" customWidth="1"/>
    <col min="14374" max="14374" width="3" style="2" customWidth="1"/>
    <col min="14375" max="14375" width="3.7109375" style="2" customWidth="1"/>
    <col min="14376" max="14592" width="8.85546875" style="2"/>
    <col min="14593" max="14595" width="3.7109375" style="2" customWidth="1"/>
    <col min="14596" max="14596" width="1.42578125" style="2" customWidth="1"/>
    <col min="14597" max="14597" width="3.7109375" style="2" customWidth="1"/>
    <col min="14598" max="14598" width="3.28515625" style="2" customWidth="1"/>
    <col min="14599" max="14629" width="3.7109375" style="2" customWidth="1"/>
    <col min="14630" max="14630" width="3" style="2" customWidth="1"/>
    <col min="14631" max="14631" width="3.7109375" style="2" customWidth="1"/>
    <col min="14632" max="14848" width="8.85546875" style="2"/>
    <col min="14849" max="14851" width="3.7109375" style="2" customWidth="1"/>
    <col min="14852" max="14852" width="1.42578125" style="2" customWidth="1"/>
    <col min="14853" max="14853" width="3.7109375" style="2" customWidth="1"/>
    <col min="14854" max="14854" width="3.28515625" style="2" customWidth="1"/>
    <col min="14855" max="14885" width="3.7109375" style="2" customWidth="1"/>
    <col min="14886" max="14886" width="3" style="2" customWidth="1"/>
    <col min="14887" max="14887" width="3.7109375" style="2" customWidth="1"/>
    <col min="14888" max="15104" width="8.85546875" style="2"/>
    <col min="15105" max="15107" width="3.7109375" style="2" customWidth="1"/>
    <col min="15108" max="15108" width="1.42578125" style="2" customWidth="1"/>
    <col min="15109" max="15109" width="3.7109375" style="2" customWidth="1"/>
    <col min="15110" max="15110" width="3.28515625" style="2" customWidth="1"/>
    <col min="15111" max="15141" width="3.7109375" style="2" customWidth="1"/>
    <col min="15142" max="15142" width="3" style="2" customWidth="1"/>
    <col min="15143" max="15143" width="3.7109375" style="2" customWidth="1"/>
    <col min="15144" max="15360" width="8.85546875" style="2"/>
    <col min="15361" max="15363" width="3.7109375" style="2" customWidth="1"/>
    <col min="15364" max="15364" width="1.42578125" style="2" customWidth="1"/>
    <col min="15365" max="15365" width="3.7109375" style="2" customWidth="1"/>
    <col min="15366" max="15366" width="3.28515625" style="2" customWidth="1"/>
    <col min="15367" max="15397" width="3.7109375" style="2" customWidth="1"/>
    <col min="15398" max="15398" width="3" style="2" customWidth="1"/>
    <col min="15399" max="15399" width="3.7109375" style="2" customWidth="1"/>
    <col min="15400" max="15616" width="8.85546875" style="2"/>
    <col min="15617" max="15619" width="3.7109375" style="2" customWidth="1"/>
    <col min="15620" max="15620" width="1.42578125" style="2" customWidth="1"/>
    <col min="15621" max="15621" width="3.7109375" style="2" customWidth="1"/>
    <col min="15622" max="15622" width="3.28515625" style="2" customWidth="1"/>
    <col min="15623" max="15653" width="3.7109375" style="2" customWidth="1"/>
    <col min="15654" max="15654" width="3" style="2" customWidth="1"/>
    <col min="15655" max="15655" width="3.7109375" style="2" customWidth="1"/>
    <col min="15656" max="15872" width="8.85546875" style="2"/>
    <col min="15873" max="15875" width="3.7109375" style="2" customWidth="1"/>
    <col min="15876" max="15876" width="1.42578125" style="2" customWidth="1"/>
    <col min="15877" max="15877" width="3.7109375" style="2" customWidth="1"/>
    <col min="15878" max="15878" width="3.28515625" style="2" customWidth="1"/>
    <col min="15879" max="15909" width="3.7109375" style="2" customWidth="1"/>
    <col min="15910" max="15910" width="3" style="2" customWidth="1"/>
    <col min="15911" max="15911" width="3.7109375" style="2" customWidth="1"/>
    <col min="15912" max="16128" width="8.85546875" style="2"/>
    <col min="16129" max="16131" width="3.7109375" style="2" customWidth="1"/>
    <col min="16132" max="16132" width="1.42578125" style="2" customWidth="1"/>
    <col min="16133" max="16133" width="3.7109375" style="2" customWidth="1"/>
    <col min="16134" max="16134" width="3.28515625" style="2" customWidth="1"/>
    <col min="16135" max="16165" width="3.7109375" style="2" customWidth="1"/>
    <col min="16166" max="16166" width="3" style="2" customWidth="1"/>
    <col min="16167" max="16167" width="3.7109375" style="2" customWidth="1"/>
    <col min="16168" max="16384" width="8.85546875" style="2"/>
  </cols>
  <sheetData>
    <row r="1" spans="1:39" ht="37.5" customHeight="1" x14ac:dyDescent="0.4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1"/>
      <c r="AM1" s="1"/>
    </row>
    <row r="2" spans="1:39" ht="22.5" customHeight="1" x14ac:dyDescent="0.2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1"/>
      <c r="AM2" s="1"/>
    </row>
    <row r="3" spans="1:39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">
      <c r="A5" s="3" t="s">
        <v>3</v>
      </c>
      <c r="B5" s="3"/>
      <c r="C5" s="3"/>
      <c r="D5" s="3" t="s">
        <v>4</v>
      </c>
      <c r="E5" s="3" t="s">
        <v>30</v>
      </c>
      <c r="F5" s="3"/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">
      <c r="A6" s="3" t="s">
        <v>5</v>
      </c>
      <c r="B6" s="3"/>
      <c r="C6" s="3"/>
      <c r="D6" s="3" t="s">
        <v>4</v>
      </c>
      <c r="E6" s="4" t="s">
        <v>11</v>
      </c>
      <c r="F6" s="4"/>
      <c r="G6" s="3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2.75" customHeight="1" x14ac:dyDescent="0.2">
      <c r="A7" s="3" t="s">
        <v>6</v>
      </c>
      <c r="B7" s="3"/>
      <c r="C7" s="3"/>
      <c r="D7" s="3" t="s">
        <v>4</v>
      </c>
      <c r="E7" s="5" t="s">
        <v>51</v>
      </c>
      <c r="F7" s="5"/>
      <c r="G7" s="6"/>
      <c r="H7" s="6"/>
      <c r="I7" s="6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2.75" customHeight="1" x14ac:dyDescent="0.2">
      <c r="A8" s="3"/>
      <c r="B8" s="3"/>
      <c r="C8" s="3"/>
      <c r="D8" s="3"/>
      <c r="E8" s="5"/>
      <c r="F8" s="5"/>
      <c r="G8" s="6"/>
      <c r="H8" s="6"/>
      <c r="I8" s="7"/>
      <c r="J8" s="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20.100000000000001" hidden="1" customHeight="1" x14ac:dyDescent="0.2">
      <c r="A9" s="1"/>
      <c r="B9" s="1"/>
    </row>
    <row r="10" spans="1:39" ht="20.100000000000001" hidden="1" customHeight="1" x14ac:dyDescent="0.2"/>
    <row r="11" spans="1:39" ht="20.100000000000001" hidden="1" customHeight="1" x14ac:dyDescent="0.2"/>
    <row r="12" spans="1:39" ht="20.100000000000001" hidden="1" customHeight="1" x14ac:dyDescent="0.2">
      <c r="A12" s="8">
        <v>1</v>
      </c>
      <c r="B12" s="52" t="s">
        <v>10</v>
      </c>
      <c r="C12" s="52"/>
      <c r="D12" s="52"/>
      <c r="E12" s="52"/>
      <c r="F12" s="52"/>
      <c r="G12" s="11"/>
      <c r="H12" s="11"/>
      <c r="I12" s="11"/>
      <c r="J12" s="11"/>
      <c r="K12" s="11"/>
    </row>
    <row r="13" spans="1:39" ht="20.100000000000001" hidden="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2"/>
      <c r="AE13" s="12"/>
      <c r="AF13" s="12"/>
      <c r="AG13" s="12"/>
      <c r="AH13" s="12"/>
      <c r="AI13" s="12"/>
      <c r="AJ13" s="12"/>
      <c r="AK13" s="12"/>
      <c r="AL13" s="55"/>
      <c r="AM13" s="55"/>
    </row>
    <row r="14" spans="1:39" ht="12" customHeight="1" x14ac:dyDescent="0.2">
      <c r="A14" s="13"/>
      <c r="B14" s="13"/>
      <c r="C14" s="13"/>
      <c r="D14" s="13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6" spans="1:39" x14ac:dyDescent="0.2">
      <c r="A16" s="52" t="s">
        <v>7</v>
      </c>
      <c r="B16" s="52" t="s">
        <v>8</v>
      </c>
      <c r="C16" s="52"/>
      <c r="D16" s="52"/>
      <c r="E16" s="52"/>
      <c r="F16" s="52"/>
      <c r="G16" s="56">
        <v>46168</v>
      </c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 t="s">
        <v>9</v>
      </c>
      <c r="AM16" s="52"/>
    </row>
    <row r="17" spans="1:39" x14ac:dyDescent="0.2">
      <c r="A17" s="52"/>
      <c r="B17" s="52"/>
      <c r="C17" s="52"/>
      <c r="D17" s="52"/>
      <c r="E17" s="52"/>
      <c r="F17" s="52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2"/>
      <c r="AM17" s="52"/>
    </row>
    <row r="18" spans="1:39" x14ac:dyDescent="0.2">
      <c r="A18" s="52"/>
      <c r="B18" s="52"/>
      <c r="C18" s="52"/>
      <c r="D18" s="52"/>
      <c r="E18" s="52"/>
      <c r="F18" s="52"/>
      <c r="G18" s="9">
        <v>1</v>
      </c>
      <c r="H18" s="9">
        <f t="shared" ref="H18:AJ18" si="0">G18+1</f>
        <v>2</v>
      </c>
      <c r="I18" s="9">
        <f t="shared" si="0"/>
        <v>3</v>
      </c>
      <c r="J18" s="9">
        <f t="shared" si="0"/>
        <v>4</v>
      </c>
      <c r="K18" s="9">
        <f t="shared" si="0"/>
        <v>5</v>
      </c>
      <c r="L18" s="9">
        <f t="shared" si="0"/>
        <v>6</v>
      </c>
      <c r="M18" s="9">
        <f t="shared" si="0"/>
        <v>7</v>
      </c>
      <c r="N18" s="9">
        <f t="shared" si="0"/>
        <v>8</v>
      </c>
      <c r="O18" s="9">
        <f t="shared" si="0"/>
        <v>9</v>
      </c>
      <c r="P18" s="9">
        <f t="shared" si="0"/>
        <v>10</v>
      </c>
      <c r="Q18" s="9">
        <f t="shared" si="0"/>
        <v>11</v>
      </c>
      <c r="R18" s="9">
        <f t="shared" si="0"/>
        <v>12</v>
      </c>
      <c r="S18" s="9">
        <f t="shared" si="0"/>
        <v>13</v>
      </c>
      <c r="T18" s="9">
        <f t="shared" si="0"/>
        <v>14</v>
      </c>
      <c r="U18" s="9">
        <f t="shared" si="0"/>
        <v>15</v>
      </c>
      <c r="V18" s="9">
        <f t="shared" si="0"/>
        <v>16</v>
      </c>
      <c r="W18" s="9">
        <f t="shared" si="0"/>
        <v>17</v>
      </c>
      <c r="X18" s="9">
        <f t="shared" si="0"/>
        <v>18</v>
      </c>
      <c r="Y18" s="9">
        <f t="shared" si="0"/>
        <v>19</v>
      </c>
      <c r="Z18" s="9">
        <f t="shared" si="0"/>
        <v>20</v>
      </c>
      <c r="AA18" s="9">
        <f t="shared" si="0"/>
        <v>21</v>
      </c>
      <c r="AB18" s="9">
        <f t="shared" si="0"/>
        <v>22</v>
      </c>
      <c r="AC18" s="9">
        <f t="shared" si="0"/>
        <v>23</v>
      </c>
      <c r="AD18" s="9">
        <f t="shared" si="0"/>
        <v>24</v>
      </c>
      <c r="AE18" s="9">
        <f t="shared" si="0"/>
        <v>25</v>
      </c>
      <c r="AF18" s="9">
        <f t="shared" si="0"/>
        <v>26</v>
      </c>
      <c r="AG18" s="42">
        <f t="shared" si="0"/>
        <v>27</v>
      </c>
      <c r="AH18" s="9">
        <f t="shared" si="0"/>
        <v>28</v>
      </c>
      <c r="AI18" s="9">
        <f t="shared" si="0"/>
        <v>29</v>
      </c>
      <c r="AJ18" s="9">
        <f t="shared" si="0"/>
        <v>30</v>
      </c>
      <c r="AK18" s="9">
        <v>31</v>
      </c>
      <c r="AL18" s="52"/>
      <c r="AM18" s="52"/>
    </row>
    <row r="19" spans="1:39" x14ac:dyDescent="0.2">
      <c r="A19" s="8">
        <v>1</v>
      </c>
      <c r="B19" s="52" t="s">
        <v>38</v>
      </c>
      <c r="C19" s="52"/>
      <c r="D19" s="52"/>
      <c r="E19" s="52"/>
      <c r="F19" s="52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50">
        <v>1</v>
      </c>
      <c r="W19" s="50">
        <v>1</v>
      </c>
      <c r="X19" s="44">
        <v>1</v>
      </c>
      <c r="Y19" s="44">
        <v>1</v>
      </c>
      <c r="Z19" s="44">
        <v>1</v>
      </c>
      <c r="AA19" s="43"/>
      <c r="AB19" s="43"/>
      <c r="AC19" s="43"/>
      <c r="AD19" s="43"/>
      <c r="AE19" s="43"/>
      <c r="AF19" s="50">
        <v>1</v>
      </c>
      <c r="AG19" s="45">
        <v>1</v>
      </c>
      <c r="AH19" s="50">
        <v>1</v>
      </c>
      <c r="AI19" s="50">
        <v>1</v>
      </c>
      <c r="AJ19" s="44">
        <v>1</v>
      </c>
      <c r="AK19" s="50">
        <v>1</v>
      </c>
      <c r="AL19" s="52">
        <f>SUM(G19:AK19)</f>
        <v>11</v>
      </c>
      <c r="AM19" s="52"/>
    </row>
    <row r="21" spans="1:39" x14ac:dyDescent="0.2">
      <c r="A21" s="52" t="s">
        <v>7</v>
      </c>
      <c r="B21" s="52" t="s">
        <v>8</v>
      </c>
      <c r="C21" s="52"/>
      <c r="D21" s="52"/>
      <c r="E21" s="52"/>
      <c r="F21" s="52"/>
      <c r="G21" s="56">
        <v>46174</v>
      </c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 t="s">
        <v>9</v>
      </c>
      <c r="AM21" s="52"/>
    </row>
    <row r="22" spans="1:39" x14ac:dyDescent="0.2">
      <c r="A22" s="52"/>
      <c r="B22" s="52"/>
      <c r="C22" s="52"/>
      <c r="D22" s="52"/>
      <c r="E22" s="52"/>
      <c r="F22" s="52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2"/>
      <c r="AM22" s="52"/>
    </row>
    <row r="23" spans="1:39" x14ac:dyDescent="0.2">
      <c r="A23" s="52"/>
      <c r="B23" s="52"/>
      <c r="C23" s="52"/>
      <c r="D23" s="52"/>
      <c r="E23" s="52"/>
      <c r="F23" s="52"/>
      <c r="G23" s="9">
        <v>1</v>
      </c>
      <c r="H23" s="9">
        <f t="shared" ref="H23:AK23" si="1">G23+1</f>
        <v>2</v>
      </c>
      <c r="I23" s="9">
        <f t="shared" si="1"/>
        <v>3</v>
      </c>
      <c r="J23" s="9">
        <f t="shared" si="1"/>
        <v>4</v>
      </c>
      <c r="K23" s="9">
        <f t="shared" si="1"/>
        <v>5</v>
      </c>
      <c r="L23" s="9">
        <f t="shared" si="1"/>
        <v>6</v>
      </c>
      <c r="M23" s="9">
        <f t="shared" si="1"/>
        <v>7</v>
      </c>
      <c r="N23" s="9">
        <f t="shared" si="1"/>
        <v>8</v>
      </c>
      <c r="O23" s="9">
        <f t="shared" si="1"/>
        <v>9</v>
      </c>
      <c r="P23" s="9">
        <f t="shared" si="1"/>
        <v>10</v>
      </c>
      <c r="Q23" s="9">
        <f t="shared" si="1"/>
        <v>11</v>
      </c>
      <c r="R23" s="9">
        <f t="shared" si="1"/>
        <v>12</v>
      </c>
      <c r="S23" s="9">
        <f t="shared" si="1"/>
        <v>13</v>
      </c>
      <c r="T23" s="9">
        <f t="shared" si="1"/>
        <v>14</v>
      </c>
      <c r="U23" s="9">
        <f t="shared" si="1"/>
        <v>15</v>
      </c>
      <c r="V23" s="9">
        <f t="shared" si="1"/>
        <v>16</v>
      </c>
      <c r="W23" s="9">
        <f t="shared" si="1"/>
        <v>17</v>
      </c>
      <c r="X23" s="9">
        <f t="shared" si="1"/>
        <v>18</v>
      </c>
      <c r="Y23" s="9">
        <f t="shared" si="1"/>
        <v>19</v>
      </c>
      <c r="Z23" s="9">
        <f t="shared" si="1"/>
        <v>20</v>
      </c>
      <c r="AA23" s="9">
        <f t="shared" si="1"/>
        <v>21</v>
      </c>
      <c r="AB23" s="9">
        <f t="shared" si="1"/>
        <v>22</v>
      </c>
      <c r="AC23" s="9">
        <f t="shared" si="1"/>
        <v>23</v>
      </c>
      <c r="AD23" s="9">
        <f t="shared" si="1"/>
        <v>24</v>
      </c>
      <c r="AE23" s="9">
        <f t="shared" si="1"/>
        <v>25</v>
      </c>
      <c r="AF23" s="9">
        <f t="shared" si="1"/>
        <v>26</v>
      </c>
      <c r="AG23" s="8">
        <f t="shared" si="1"/>
        <v>27</v>
      </c>
      <c r="AH23" s="9">
        <f t="shared" si="1"/>
        <v>28</v>
      </c>
      <c r="AI23" s="9">
        <f t="shared" si="1"/>
        <v>29</v>
      </c>
      <c r="AJ23" s="9">
        <f t="shared" si="1"/>
        <v>30</v>
      </c>
      <c r="AK23" s="9">
        <f t="shared" si="1"/>
        <v>31</v>
      </c>
      <c r="AL23" s="52"/>
      <c r="AM23" s="52"/>
    </row>
    <row r="24" spans="1:39" x14ac:dyDescent="0.2">
      <c r="A24" s="8">
        <v>1</v>
      </c>
      <c r="B24" s="52" t="s">
        <v>38</v>
      </c>
      <c r="C24" s="52"/>
      <c r="D24" s="52"/>
      <c r="E24" s="52"/>
      <c r="F24" s="52"/>
      <c r="G24" s="50">
        <v>1</v>
      </c>
      <c r="H24" s="50">
        <v>1</v>
      </c>
      <c r="I24" s="50">
        <v>1</v>
      </c>
      <c r="J24" s="50">
        <v>1</v>
      </c>
      <c r="K24" s="43"/>
      <c r="L24" s="43"/>
      <c r="M24" s="43"/>
      <c r="N24" s="43"/>
      <c r="O24" s="43"/>
      <c r="P24" s="44">
        <v>1</v>
      </c>
      <c r="Q24" s="50">
        <v>1</v>
      </c>
      <c r="R24" s="50">
        <v>1</v>
      </c>
      <c r="S24" s="50">
        <v>1</v>
      </c>
      <c r="T24" s="50">
        <v>1</v>
      </c>
      <c r="U24" s="50">
        <v>1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52">
        <f>SUM(G24:AK24)</f>
        <v>10</v>
      </c>
      <c r="AM24" s="52"/>
    </row>
    <row r="25" spans="1:39" ht="15.75" x14ac:dyDescent="0.25">
      <c r="A25" s="64" t="s">
        <v>37</v>
      </c>
      <c r="B25" s="64"/>
      <c r="C25" s="64"/>
      <c r="D25" s="64"/>
      <c r="E25" s="64"/>
      <c r="F25" s="64"/>
      <c r="G25" s="64"/>
      <c r="AF25" s="66" t="s">
        <v>22</v>
      </c>
      <c r="AG25" s="67"/>
      <c r="AH25" s="67"/>
      <c r="AI25" s="67"/>
      <c r="AJ25" s="67"/>
      <c r="AK25" s="68"/>
      <c r="AL25" s="66">
        <f>AL19+AL24</f>
        <v>21</v>
      </c>
      <c r="AM25" s="68"/>
    </row>
    <row r="26" spans="1:39" ht="33" customHeight="1" x14ac:dyDescent="0.25">
      <c r="A26" s="61" t="s">
        <v>36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AF26" s="25"/>
      <c r="AG26" s="25"/>
      <c r="AH26" s="25"/>
      <c r="AI26" s="25"/>
      <c r="AJ26" s="25"/>
      <c r="AK26" s="25"/>
      <c r="AL26" s="25"/>
      <c r="AM26" s="25"/>
    </row>
    <row r="27" spans="1:39" ht="16.5" customHeight="1" x14ac:dyDescent="0.2">
      <c r="A27" s="27">
        <v>1</v>
      </c>
      <c r="B27" s="65" t="s">
        <v>19</v>
      </c>
      <c r="C27" s="65"/>
      <c r="D27" s="65"/>
      <c r="E27" s="65"/>
      <c r="F27" s="1"/>
      <c r="G27" s="1"/>
      <c r="AJ27" s="15"/>
      <c r="AK27" s="15"/>
      <c r="AL27" s="15"/>
      <c r="AM27" s="15"/>
    </row>
    <row r="28" spans="1:39" ht="16.5" customHeight="1" x14ac:dyDescent="0.25">
      <c r="A28" s="40">
        <v>2</v>
      </c>
      <c r="B28" s="65" t="s">
        <v>18</v>
      </c>
      <c r="C28" s="65"/>
      <c r="D28" s="65"/>
      <c r="E28" s="65"/>
      <c r="F28" s="1"/>
      <c r="G28" s="1"/>
      <c r="AB28" s="25"/>
      <c r="AC28" s="25"/>
      <c r="AD28" s="25"/>
      <c r="AE28" s="25"/>
      <c r="AF28" s="25"/>
      <c r="AG28" s="25"/>
      <c r="AH28" s="25"/>
      <c r="AI28" s="25"/>
      <c r="AJ28" s="15"/>
      <c r="AK28" s="15"/>
      <c r="AL28" s="15"/>
      <c r="AM28" s="15"/>
    </row>
    <row r="29" spans="1:39" ht="16.5" customHeight="1" x14ac:dyDescent="0.25">
      <c r="A29" s="41">
        <v>3</v>
      </c>
      <c r="B29" s="65" t="s">
        <v>21</v>
      </c>
      <c r="C29" s="65"/>
      <c r="D29" s="65"/>
      <c r="E29" s="65"/>
      <c r="F29" s="1"/>
      <c r="G29" s="1"/>
      <c r="AB29" s="25"/>
      <c r="AC29" s="25"/>
      <c r="AD29" s="25"/>
      <c r="AE29" s="25"/>
      <c r="AF29" s="25"/>
      <c r="AG29" s="25"/>
      <c r="AH29" s="25"/>
      <c r="AI29" s="25"/>
      <c r="AJ29" s="15"/>
      <c r="AK29" s="15"/>
      <c r="AL29" s="15"/>
      <c r="AM29" s="15"/>
    </row>
    <row r="30" spans="1:39" ht="18" customHeight="1" x14ac:dyDescent="0.2">
      <c r="A30" s="28">
        <v>4</v>
      </c>
      <c r="B30" s="65" t="s">
        <v>20</v>
      </c>
      <c r="C30" s="65"/>
      <c r="D30" s="65"/>
      <c r="E30" s="65"/>
      <c r="F30" s="1"/>
      <c r="G30" s="1"/>
      <c r="H30" s="1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1:39" ht="17.25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spans="1:39" ht="15.75" customHeight="1" x14ac:dyDescent="0.2">
      <c r="A32" s="18"/>
      <c r="B32" s="19"/>
      <c r="C32" s="19"/>
      <c r="D32" s="19"/>
      <c r="E32" s="19"/>
      <c r="F32" s="19"/>
      <c r="N32" s="19"/>
      <c r="O32" s="19"/>
      <c r="P32" s="19"/>
      <c r="Q32" s="19"/>
      <c r="R32" s="19"/>
    </row>
    <row r="33" spans="1:37" ht="22.5" hidden="1" customHeight="1" x14ac:dyDescent="0.2">
      <c r="A33" s="18"/>
      <c r="B33" s="19"/>
      <c r="C33" s="19"/>
      <c r="D33" s="19"/>
      <c r="E33" s="19"/>
      <c r="F33" s="19"/>
      <c r="N33" s="19"/>
      <c r="O33" s="19"/>
      <c r="P33" s="19"/>
      <c r="Q33" s="19"/>
      <c r="R33" s="19"/>
      <c r="S33" s="20"/>
      <c r="T33" s="20"/>
      <c r="U33" s="20"/>
    </row>
    <row r="34" spans="1:37" ht="15" customHeight="1" x14ac:dyDescent="0.2">
      <c r="A34" s="18"/>
      <c r="B34" s="19"/>
      <c r="C34" s="19"/>
      <c r="D34" s="19"/>
      <c r="E34" s="19"/>
      <c r="F34" s="19"/>
      <c r="N34" s="19"/>
      <c r="O34" s="19"/>
      <c r="P34" s="19"/>
      <c r="Q34" s="19"/>
      <c r="R34" s="19"/>
    </row>
    <row r="35" spans="1:37" x14ac:dyDescent="0.2">
      <c r="A35" s="18"/>
      <c r="B35" s="19"/>
      <c r="C35" s="19"/>
      <c r="D35" s="19"/>
      <c r="E35" s="19"/>
      <c r="F35" s="19"/>
      <c r="N35" s="19"/>
      <c r="O35" s="19"/>
      <c r="P35" s="19"/>
      <c r="Q35" s="19"/>
      <c r="R35" s="19"/>
    </row>
    <row r="38" spans="1:37" ht="1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AC38" s="59"/>
      <c r="AD38" s="59"/>
      <c r="AE38" s="59"/>
      <c r="AF38" s="59"/>
      <c r="AG38" s="59"/>
      <c r="AH38" s="59"/>
      <c r="AI38" s="59"/>
      <c r="AJ38" s="59"/>
      <c r="AK38" s="59"/>
    </row>
    <row r="39" spans="1:37" ht="13.5" thickBot="1" x14ac:dyDescent="0.25">
      <c r="A39" s="18"/>
      <c r="B39" s="62" t="s">
        <v>52</v>
      </c>
      <c r="C39" s="63"/>
      <c r="D39" s="63"/>
      <c r="E39" s="63"/>
      <c r="F39" s="63"/>
      <c r="I39" s="69" t="s">
        <v>17</v>
      </c>
      <c r="J39" s="69"/>
      <c r="K39" s="69"/>
      <c r="L39" s="69"/>
      <c r="M39" s="69"/>
      <c r="P39" s="69" t="s">
        <v>31</v>
      </c>
      <c r="Q39" s="69"/>
      <c r="R39" s="69"/>
      <c r="S39" s="69"/>
      <c r="T39" s="69"/>
    </row>
    <row r="40" spans="1:37" x14ac:dyDescent="0.2">
      <c r="A40" s="1"/>
      <c r="B40" s="58" t="s">
        <v>16</v>
      </c>
      <c r="C40" s="58"/>
      <c r="D40" s="58"/>
      <c r="E40" s="58"/>
      <c r="F40" s="58"/>
      <c r="I40" s="60" t="s">
        <v>15</v>
      </c>
      <c r="J40" s="60"/>
      <c r="K40" s="60"/>
      <c r="L40" s="60"/>
      <c r="M40" s="60"/>
      <c r="N40" s="1"/>
      <c r="O40" s="1"/>
      <c r="P40" s="60" t="s">
        <v>32</v>
      </c>
      <c r="Q40" s="60"/>
      <c r="R40" s="60"/>
      <c r="S40" s="60"/>
      <c r="T40" s="60"/>
    </row>
  </sheetData>
  <mergeCells count="33">
    <mergeCell ref="A1:AK1"/>
    <mergeCell ref="A2:AK2"/>
    <mergeCell ref="B12:F12"/>
    <mergeCell ref="AL13:AM13"/>
    <mergeCell ref="A16:A18"/>
    <mergeCell ref="B16:F18"/>
    <mergeCell ref="G16:AK16"/>
    <mergeCell ref="AL16:AM18"/>
    <mergeCell ref="G17:AK17"/>
    <mergeCell ref="B19:F19"/>
    <mergeCell ref="AL19:AM19"/>
    <mergeCell ref="A21:A23"/>
    <mergeCell ref="B21:F23"/>
    <mergeCell ref="G21:AK21"/>
    <mergeCell ref="AL21:AM23"/>
    <mergeCell ref="G22:AK22"/>
    <mergeCell ref="AL24:AM24"/>
    <mergeCell ref="A25:G25"/>
    <mergeCell ref="AF25:AK25"/>
    <mergeCell ref="AL25:AM25"/>
    <mergeCell ref="A26:N26"/>
    <mergeCell ref="AC38:AK38"/>
    <mergeCell ref="B39:F39"/>
    <mergeCell ref="I39:M39"/>
    <mergeCell ref="P39:T39"/>
    <mergeCell ref="B24:F24"/>
    <mergeCell ref="B40:F40"/>
    <mergeCell ref="I40:M40"/>
    <mergeCell ref="P40:T40"/>
    <mergeCell ref="B27:E27"/>
    <mergeCell ref="B28:E28"/>
    <mergeCell ref="B29:E29"/>
    <mergeCell ref="B30:E30"/>
  </mergeCells>
  <printOptions horizontalCentered="1"/>
  <pageMargins left="0.2" right="0.2" top="0.5" bottom="0.5" header="0.3" footer="0.3"/>
  <pageSetup paperSize="9" scale="9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225D-AB30-4E6F-B05A-91A498DD6D25}">
  <dimension ref="A1:J38"/>
  <sheetViews>
    <sheetView topLeftCell="A16" zoomScaleNormal="100" workbookViewId="0">
      <selection activeCell="H37" sqref="H37"/>
    </sheetView>
  </sheetViews>
  <sheetFormatPr defaultRowHeight="15" x14ac:dyDescent="0.25"/>
  <cols>
    <col min="1" max="1" width="3.85546875" bestFit="1" customWidth="1"/>
    <col min="2" max="2" width="24.42578125" bestFit="1" customWidth="1"/>
    <col min="3" max="3" width="10" bestFit="1" customWidth="1"/>
    <col min="4" max="4" width="9.85546875" bestFit="1" customWidth="1"/>
    <col min="5" max="5" width="35" bestFit="1" customWidth="1"/>
    <col min="6" max="7" width="5.5703125" bestFit="1" customWidth="1"/>
    <col min="8" max="8" width="12.28515625" bestFit="1" customWidth="1"/>
    <col min="9" max="9" width="10.7109375" bestFit="1" customWidth="1"/>
    <col min="10" max="10" width="5.85546875" bestFit="1" customWidth="1"/>
    <col min="257" max="257" width="5.140625" customWidth="1"/>
    <col min="258" max="258" width="29.7109375" customWidth="1"/>
    <col min="259" max="259" width="110.42578125" customWidth="1"/>
    <col min="260" max="260" width="11" bestFit="1" customWidth="1"/>
    <col min="513" max="513" width="5.140625" customWidth="1"/>
    <col min="514" max="514" width="29.7109375" customWidth="1"/>
    <col min="515" max="515" width="110.42578125" customWidth="1"/>
    <col min="516" max="516" width="11" bestFit="1" customWidth="1"/>
    <col min="769" max="769" width="5.140625" customWidth="1"/>
    <col min="770" max="770" width="29.7109375" customWidth="1"/>
    <col min="771" max="771" width="110.42578125" customWidth="1"/>
    <col min="772" max="772" width="11" bestFit="1" customWidth="1"/>
    <col min="1025" max="1025" width="5.140625" customWidth="1"/>
    <col min="1026" max="1026" width="29.7109375" customWidth="1"/>
    <col min="1027" max="1027" width="110.42578125" customWidth="1"/>
    <col min="1028" max="1028" width="11" bestFit="1" customWidth="1"/>
    <col min="1281" max="1281" width="5.140625" customWidth="1"/>
    <col min="1282" max="1282" width="29.7109375" customWidth="1"/>
    <col min="1283" max="1283" width="110.42578125" customWidth="1"/>
    <col min="1284" max="1284" width="11" bestFit="1" customWidth="1"/>
    <col min="1537" max="1537" width="5.140625" customWidth="1"/>
    <col min="1538" max="1538" width="29.7109375" customWidth="1"/>
    <col min="1539" max="1539" width="110.42578125" customWidth="1"/>
    <col min="1540" max="1540" width="11" bestFit="1" customWidth="1"/>
    <col min="1793" max="1793" width="5.140625" customWidth="1"/>
    <col min="1794" max="1794" width="29.7109375" customWidth="1"/>
    <col min="1795" max="1795" width="110.42578125" customWidth="1"/>
    <col min="1796" max="1796" width="11" bestFit="1" customWidth="1"/>
    <col min="2049" max="2049" width="5.140625" customWidth="1"/>
    <col min="2050" max="2050" width="29.7109375" customWidth="1"/>
    <col min="2051" max="2051" width="110.42578125" customWidth="1"/>
    <col min="2052" max="2052" width="11" bestFit="1" customWidth="1"/>
    <col min="2305" max="2305" width="5.140625" customWidth="1"/>
    <col min="2306" max="2306" width="29.7109375" customWidth="1"/>
    <col min="2307" max="2307" width="110.42578125" customWidth="1"/>
    <col min="2308" max="2308" width="11" bestFit="1" customWidth="1"/>
    <col min="2561" max="2561" width="5.140625" customWidth="1"/>
    <col min="2562" max="2562" width="29.7109375" customWidth="1"/>
    <col min="2563" max="2563" width="110.42578125" customWidth="1"/>
    <col min="2564" max="2564" width="11" bestFit="1" customWidth="1"/>
    <col min="2817" max="2817" width="5.140625" customWidth="1"/>
    <col min="2818" max="2818" width="29.7109375" customWidth="1"/>
    <col min="2819" max="2819" width="110.42578125" customWidth="1"/>
    <col min="2820" max="2820" width="11" bestFit="1" customWidth="1"/>
    <col min="3073" max="3073" width="5.140625" customWidth="1"/>
    <col min="3074" max="3074" width="29.7109375" customWidth="1"/>
    <col min="3075" max="3075" width="110.42578125" customWidth="1"/>
    <col min="3076" max="3076" width="11" bestFit="1" customWidth="1"/>
    <col min="3329" max="3329" width="5.140625" customWidth="1"/>
    <col min="3330" max="3330" width="29.7109375" customWidth="1"/>
    <col min="3331" max="3331" width="110.42578125" customWidth="1"/>
    <col min="3332" max="3332" width="11" bestFit="1" customWidth="1"/>
    <col min="3585" max="3585" width="5.140625" customWidth="1"/>
    <col min="3586" max="3586" width="29.7109375" customWidth="1"/>
    <col min="3587" max="3587" width="110.42578125" customWidth="1"/>
    <col min="3588" max="3588" width="11" bestFit="1" customWidth="1"/>
    <col min="3841" max="3841" width="5.140625" customWidth="1"/>
    <col min="3842" max="3842" width="29.7109375" customWidth="1"/>
    <col min="3843" max="3843" width="110.42578125" customWidth="1"/>
    <col min="3844" max="3844" width="11" bestFit="1" customWidth="1"/>
    <col min="4097" max="4097" width="5.140625" customWidth="1"/>
    <col min="4098" max="4098" width="29.7109375" customWidth="1"/>
    <col min="4099" max="4099" width="110.42578125" customWidth="1"/>
    <col min="4100" max="4100" width="11" bestFit="1" customWidth="1"/>
    <col min="4353" max="4353" width="5.140625" customWidth="1"/>
    <col min="4354" max="4354" width="29.7109375" customWidth="1"/>
    <col min="4355" max="4355" width="110.42578125" customWidth="1"/>
    <col min="4356" max="4356" width="11" bestFit="1" customWidth="1"/>
    <col min="4609" max="4609" width="5.140625" customWidth="1"/>
    <col min="4610" max="4610" width="29.7109375" customWidth="1"/>
    <col min="4611" max="4611" width="110.42578125" customWidth="1"/>
    <col min="4612" max="4612" width="11" bestFit="1" customWidth="1"/>
    <col min="4865" max="4865" width="5.140625" customWidth="1"/>
    <col min="4866" max="4866" width="29.7109375" customWidth="1"/>
    <col min="4867" max="4867" width="110.42578125" customWidth="1"/>
    <col min="4868" max="4868" width="11" bestFit="1" customWidth="1"/>
    <col min="5121" max="5121" width="5.140625" customWidth="1"/>
    <col min="5122" max="5122" width="29.7109375" customWidth="1"/>
    <col min="5123" max="5123" width="110.42578125" customWidth="1"/>
    <col min="5124" max="5124" width="11" bestFit="1" customWidth="1"/>
    <col min="5377" max="5377" width="5.140625" customWidth="1"/>
    <col min="5378" max="5378" width="29.7109375" customWidth="1"/>
    <col min="5379" max="5379" width="110.42578125" customWidth="1"/>
    <col min="5380" max="5380" width="11" bestFit="1" customWidth="1"/>
    <col min="5633" max="5633" width="5.140625" customWidth="1"/>
    <col min="5634" max="5634" width="29.7109375" customWidth="1"/>
    <col min="5635" max="5635" width="110.42578125" customWidth="1"/>
    <col min="5636" max="5636" width="11" bestFit="1" customWidth="1"/>
    <col min="5889" max="5889" width="5.140625" customWidth="1"/>
    <col min="5890" max="5890" width="29.7109375" customWidth="1"/>
    <col min="5891" max="5891" width="110.42578125" customWidth="1"/>
    <col min="5892" max="5892" width="11" bestFit="1" customWidth="1"/>
    <col min="6145" max="6145" width="5.140625" customWidth="1"/>
    <col min="6146" max="6146" width="29.7109375" customWidth="1"/>
    <col min="6147" max="6147" width="110.42578125" customWidth="1"/>
    <col min="6148" max="6148" width="11" bestFit="1" customWidth="1"/>
    <col min="6401" max="6401" width="5.140625" customWidth="1"/>
    <col min="6402" max="6402" width="29.7109375" customWidth="1"/>
    <col min="6403" max="6403" width="110.42578125" customWidth="1"/>
    <col min="6404" max="6404" width="11" bestFit="1" customWidth="1"/>
    <col min="6657" max="6657" width="5.140625" customWidth="1"/>
    <col min="6658" max="6658" width="29.7109375" customWidth="1"/>
    <col min="6659" max="6659" width="110.42578125" customWidth="1"/>
    <col min="6660" max="6660" width="11" bestFit="1" customWidth="1"/>
    <col min="6913" max="6913" width="5.140625" customWidth="1"/>
    <col min="6914" max="6914" width="29.7109375" customWidth="1"/>
    <col min="6915" max="6915" width="110.42578125" customWidth="1"/>
    <col min="6916" max="6916" width="11" bestFit="1" customWidth="1"/>
    <col min="7169" max="7169" width="5.140625" customWidth="1"/>
    <col min="7170" max="7170" width="29.7109375" customWidth="1"/>
    <col min="7171" max="7171" width="110.42578125" customWidth="1"/>
    <col min="7172" max="7172" width="11" bestFit="1" customWidth="1"/>
    <col min="7425" max="7425" width="5.140625" customWidth="1"/>
    <col min="7426" max="7426" width="29.7109375" customWidth="1"/>
    <col min="7427" max="7427" width="110.42578125" customWidth="1"/>
    <col min="7428" max="7428" width="11" bestFit="1" customWidth="1"/>
    <col min="7681" max="7681" width="5.140625" customWidth="1"/>
    <col min="7682" max="7682" width="29.7109375" customWidth="1"/>
    <col min="7683" max="7683" width="110.42578125" customWidth="1"/>
    <col min="7684" max="7684" width="11" bestFit="1" customWidth="1"/>
    <col min="7937" max="7937" width="5.140625" customWidth="1"/>
    <col min="7938" max="7938" width="29.7109375" customWidth="1"/>
    <col min="7939" max="7939" width="110.42578125" customWidth="1"/>
    <col min="7940" max="7940" width="11" bestFit="1" customWidth="1"/>
    <col min="8193" max="8193" width="5.140625" customWidth="1"/>
    <col min="8194" max="8194" width="29.7109375" customWidth="1"/>
    <col min="8195" max="8195" width="110.42578125" customWidth="1"/>
    <col min="8196" max="8196" width="11" bestFit="1" customWidth="1"/>
    <col min="8449" max="8449" width="5.140625" customWidth="1"/>
    <col min="8450" max="8450" width="29.7109375" customWidth="1"/>
    <col min="8451" max="8451" width="110.42578125" customWidth="1"/>
    <col min="8452" max="8452" width="11" bestFit="1" customWidth="1"/>
    <col min="8705" max="8705" width="5.140625" customWidth="1"/>
    <col min="8706" max="8706" width="29.7109375" customWidth="1"/>
    <col min="8707" max="8707" width="110.42578125" customWidth="1"/>
    <col min="8708" max="8708" width="11" bestFit="1" customWidth="1"/>
    <col min="8961" max="8961" width="5.140625" customWidth="1"/>
    <col min="8962" max="8962" width="29.7109375" customWidth="1"/>
    <col min="8963" max="8963" width="110.42578125" customWidth="1"/>
    <col min="8964" max="8964" width="11" bestFit="1" customWidth="1"/>
    <col min="9217" max="9217" width="5.140625" customWidth="1"/>
    <col min="9218" max="9218" width="29.7109375" customWidth="1"/>
    <col min="9219" max="9219" width="110.42578125" customWidth="1"/>
    <col min="9220" max="9220" width="11" bestFit="1" customWidth="1"/>
    <col min="9473" max="9473" width="5.140625" customWidth="1"/>
    <col min="9474" max="9474" width="29.7109375" customWidth="1"/>
    <col min="9475" max="9475" width="110.42578125" customWidth="1"/>
    <col min="9476" max="9476" width="11" bestFit="1" customWidth="1"/>
    <col min="9729" max="9729" width="5.140625" customWidth="1"/>
    <col min="9730" max="9730" width="29.7109375" customWidth="1"/>
    <col min="9731" max="9731" width="110.42578125" customWidth="1"/>
    <col min="9732" max="9732" width="11" bestFit="1" customWidth="1"/>
    <col min="9985" max="9985" width="5.140625" customWidth="1"/>
    <col min="9986" max="9986" width="29.7109375" customWidth="1"/>
    <col min="9987" max="9987" width="110.42578125" customWidth="1"/>
    <col min="9988" max="9988" width="11" bestFit="1" customWidth="1"/>
    <col min="10241" max="10241" width="5.140625" customWidth="1"/>
    <col min="10242" max="10242" width="29.7109375" customWidth="1"/>
    <col min="10243" max="10243" width="110.42578125" customWidth="1"/>
    <col min="10244" max="10244" width="11" bestFit="1" customWidth="1"/>
    <col min="10497" max="10497" width="5.140625" customWidth="1"/>
    <col min="10498" max="10498" width="29.7109375" customWidth="1"/>
    <col min="10499" max="10499" width="110.42578125" customWidth="1"/>
    <col min="10500" max="10500" width="11" bestFit="1" customWidth="1"/>
    <col min="10753" max="10753" width="5.140625" customWidth="1"/>
    <col min="10754" max="10754" width="29.7109375" customWidth="1"/>
    <col min="10755" max="10755" width="110.42578125" customWidth="1"/>
    <col min="10756" max="10756" width="11" bestFit="1" customWidth="1"/>
    <col min="11009" max="11009" width="5.140625" customWidth="1"/>
    <col min="11010" max="11010" width="29.7109375" customWidth="1"/>
    <col min="11011" max="11011" width="110.42578125" customWidth="1"/>
    <col min="11012" max="11012" width="11" bestFit="1" customWidth="1"/>
    <col min="11265" max="11265" width="5.140625" customWidth="1"/>
    <col min="11266" max="11266" width="29.7109375" customWidth="1"/>
    <col min="11267" max="11267" width="110.42578125" customWidth="1"/>
    <col min="11268" max="11268" width="11" bestFit="1" customWidth="1"/>
    <col min="11521" max="11521" width="5.140625" customWidth="1"/>
    <col min="11522" max="11522" width="29.7109375" customWidth="1"/>
    <col min="11523" max="11523" width="110.42578125" customWidth="1"/>
    <col min="11524" max="11524" width="11" bestFit="1" customWidth="1"/>
    <col min="11777" max="11777" width="5.140625" customWidth="1"/>
    <col min="11778" max="11778" width="29.7109375" customWidth="1"/>
    <col min="11779" max="11779" width="110.42578125" customWidth="1"/>
    <col min="11780" max="11780" width="11" bestFit="1" customWidth="1"/>
    <col min="12033" max="12033" width="5.140625" customWidth="1"/>
    <col min="12034" max="12034" width="29.7109375" customWidth="1"/>
    <col min="12035" max="12035" width="110.42578125" customWidth="1"/>
    <col min="12036" max="12036" width="11" bestFit="1" customWidth="1"/>
    <col min="12289" max="12289" width="5.140625" customWidth="1"/>
    <col min="12290" max="12290" width="29.7109375" customWidth="1"/>
    <col min="12291" max="12291" width="110.42578125" customWidth="1"/>
    <col min="12292" max="12292" width="11" bestFit="1" customWidth="1"/>
    <col min="12545" max="12545" width="5.140625" customWidth="1"/>
    <col min="12546" max="12546" width="29.7109375" customWidth="1"/>
    <col min="12547" max="12547" width="110.42578125" customWidth="1"/>
    <col min="12548" max="12548" width="11" bestFit="1" customWidth="1"/>
    <col min="12801" max="12801" width="5.140625" customWidth="1"/>
    <col min="12802" max="12802" width="29.7109375" customWidth="1"/>
    <col min="12803" max="12803" width="110.42578125" customWidth="1"/>
    <col min="12804" max="12804" width="11" bestFit="1" customWidth="1"/>
    <col min="13057" max="13057" width="5.140625" customWidth="1"/>
    <col min="13058" max="13058" width="29.7109375" customWidth="1"/>
    <col min="13059" max="13059" width="110.42578125" customWidth="1"/>
    <col min="13060" max="13060" width="11" bestFit="1" customWidth="1"/>
    <col min="13313" max="13313" width="5.140625" customWidth="1"/>
    <col min="13314" max="13314" width="29.7109375" customWidth="1"/>
    <col min="13315" max="13315" width="110.42578125" customWidth="1"/>
    <col min="13316" max="13316" width="11" bestFit="1" customWidth="1"/>
    <col min="13569" max="13569" width="5.140625" customWidth="1"/>
    <col min="13570" max="13570" width="29.7109375" customWidth="1"/>
    <col min="13571" max="13571" width="110.42578125" customWidth="1"/>
    <col min="13572" max="13572" width="11" bestFit="1" customWidth="1"/>
    <col min="13825" max="13825" width="5.140625" customWidth="1"/>
    <col min="13826" max="13826" width="29.7109375" customWidth="1"/>
    <col min="13827" max="13827" width="110.42578125" customWidth="1"/>
    <col min="13828" max="13828" width="11" bestFit="1" customWidth="1"/>
    <col min="14081" max="14081" width="5.140625" customWidth="1"/>
    <col min="14082" max="14082" width="29.7109375" customWidth="1"/>
    <col min="14083" max="14083" width="110.42578125" customWidth="1"/>
    <col min="14084" max="14084" width="11" bestFit="1" customWidth="1"/>
    <col min="14337" max="14337" width="5.140625" customWidth="1"/>
    <col min="14338" max="14338" width="29.7109375" customWidth="1"/>
    <col min="14339" max="14339" width="110.42578125" customWidth="1"/>
    <col min="14340" max="14340" width="11" bestFit="1" customWidth="1"/>
    <col min="14593" max="14593" width="5.140625" customWidth="1"/>
    <col min="14594" max="14594" width="29.7109375" customWidth="1"/>
    <col min="14595" max="14595" width="110.42578125" customWidth="1"/>
    <col min="14596" max="14596" width="11" bestFit="1" customWidth="1"/>
    <col min="14849" max="14849" width="5.140625" customWidth="1"/>
    <col min="14850" max="14850" width="29.7109375" customWidth="1"/>
    <col min="14851" max="14851" width="110.42578125" customWidth="1"/>
    <col min="14852" max="14852" width="11" bestFit="1" customWidth="1"/>
    <col min="15105" max="15105" width="5.140625" customWidth="1"/>
    <col min="15106" max="15106" width="29.7109375" customWidth="1"/>
    <col min="15107" max="15107" width="110.42578125" customWidth="1"/>
    <col min="15108" max="15108" width="11" bestFit="1" customWidth="1"/>
    <col min="15361" max="15361" width="5.140625" customWidth="1"/>
    <col min="15362" max="15362" width="29.7109375" customWidth="1"/>
    <col min="15363" max="15363" width="110.42578125" customWidth="1"/>
    <col min="15364" max="15364" width="11" bestFit="1" customWidth="1"/>
    <col min="15617" max="15617" width="5.140625" customWidth="1"/>
    <col min="15618" max="15618" width="29.7109375" customWidth="1"/>
    <col min="15619" max="15619" width="110.42578125" customWidth="1"/>
    <col min="15620" max="15620" width="11" bestFit="1" customWidth="1"/>
    <col min="15873" max="15873" width="5.140625" customWidth="1"/>
    <col min="15874" max="15874" width="29.7109375" customWidth="1"/>
    <col min="15875" max="15875" width="110.42578125" customWidth="1"/>
    <col min="15876" max="15876" width="11" bestFit="1" customWidth="1"/>
    <col min="16129" max="16129" width="5.140625" customWidth="1"/>
    <col min="16130" max="16130" width="29.7109375" customWidth="1"/>
    <col min="16131" max="16131" width="110.42578125" customWidth="1"/>
    <col min="16132" max="16132" width="11" bestFit="1" customWidth="1"/>
  </cols>
  <sheetData>
    <row r="1" spans="1:10" x14ac:dyDescent="0.25">
      <c r="A1" s="70" t="s">
        <v>7</v>
      </c>
      <c r="B1" s="70" t="s">
        <v>12</v>
      </c>
      <c r="C1" s="70" t="s">
        <v>13</v>
      </c>
      <c r="D1" s="70"/>
      <c r="E1" s="70"/>
      <c r="F1" s="71" t="s">
        <v>26</v>
      </c>
      <c r="G1" s="72"/>
      <c r="H1" s="72"/>
      <c r="I1" s="72"/>
      <c r="J1" s="73"/>
    </row>
    <row r="2" spans="1:10" x14ac:dyDescent="0.25">
      <c r="A2" s="70"/>
      <c r="B2" s="70"/>
      <c r="C2" s="31" t="s">
        <v>24</v>
      </c>
      <c r="D2" s="31" t="s">
        <v>25</v>
      </c>
      <c r="E2" s="31" t="s">
        <v>14</v>
      </c>
      <c r="F2" s="31" t="s">
        <v>27</v>
      </c>
      <c r="G2" s="31" t="s">
        <v>28</v>
      </c>
      <c r="H2" s="31" t="s">
        <v>33</v>
      </c>
      <c r="I2" s="31" t="s">
        <v>34</v>
      </c>
      <c r="J2" s="32" t="s">
        <v>35</v>
      </c>
    </row>
    <row r="3" spans="1:10" x14ac:dyDescent="0.25">
      <c r="A3" s="21">
        <v>1</v>
      </c>
      <c r="B3" s="22">
        <v>46158</v>
      </c>
      <c r="C3" s="23"/>
      <c r="D3" s="24"/>
      <c r="E3" s="24" t="s">
        <v>43</v>
      </c>
      <c r="F3" s="29">
        <v>0.33333333333333331</v>
      </c>
      <c r="G3" s="29">
        <v>0.83333333333333337</v>
      </c>
      <c r="H3" s="30">
        <f>IF(G3&lt;F3,(G3+1)-F3,G3-F3)</f>
        <v>0.5</v>
      </c>
      <c r="I3" s="30">
        <f>MAX((IF(G3&lt;F3,(G3+1)-F3,G3-F3))-TIME(12,0,0),0)</f>
        <v>0</v>
      </c>
      <c r="J3" s="39"/>
    </row>
    <row r="4" spans="1:10" x14ac:dyDescent="0.25">
      <c r="A4" s="21">
        <v>2</v>
      </c>
      <c r="B4" s="22">
        <v>46159</v>
      </c>
      <c r="C4" s="23"/>
      <c r="D4" s="24"/>
      <c r="E4" s="24" t="s">
        <v>43</v>
      </c>
      <c r="F4" s="29">
        <v>0.33333333333333331</v>
      </c>
      <c r="G4" s="29">
        <v>0.83333333333333337</v>
      </c>
      <c r="H4" s="30">
        <f t="shared" ref="H4:H18" si="0">IF(G4&lt;F4,(G4+1)-F4,G4-F4)</f>
        <v>0.5</v>
      </c>
      <c r="I4" s="30">
        <f t="shared" ref="I4:I18" si="1">MAX((IF(G4&lt;F4,(G4+1)-F4,G4-F4))-TIME(12,0,0),0)</f>
        <v>0</v>
      </c>
      <c r="J4" s="39"/>
    </row>
    <row r="5" spans="1:10" x14ac:dyDescent="0.25">
      <c r="A5" s="21">
        <v>3</v>
      </c>
      <c r="B5" s="22">
        <v>46160</v>
      </c>
      <c r="C5" s="23" t="s">
        <v>40</v>
      </c>
      <c r="D5" s="24" t="s">
        <v>41</v>
      </c>
      <c r="E5" s="24" t="s">
        <v>44</v>
      </c>
      <c r="F5" s="29">
        <v>0.33333333333333331</v>
      </c>
      <c r="G5" s="29">
        <v>0.95833333333333337</v>
      </c>
      <c r="H5" s="30">
        <f t="shared" si="0"/>
        <v>0.625</v>
      </c>
      <c r="I5" s="30">
        <f t="shared" si="1"/>
        <v>0.125</v>
      </c>
      <c r="J5" s="49"/>
    </row>
    <row r="6" spans="1:10" x14ac:dyDescent="0.25">
      <c r="A6" s="21">
        <v>4</v>
      </c>
      <c r="B6" s="22">
        <v>46161</v>
      </c>
      <c r="C6" s="23" t="s">
        <v>40</v>
      </c>
      <c r="D6" s="24" t="s">
        <v>41</v>
      </c>
      <c r="E6" s="24" t="s">
        <v>45</v>
      </c>
      <c r="F6" s="29">
        <v>0.29166666666666669</v>
      </c>
      <c r="G6" s="29">
        <v>0.83333333333333337</v>
      </c>
      <c r="H6" s="30">
        <f t="shared" si="0"/>
        <v>0.54166666666666674</v>
      </c>
      <c r="I6" s="30">
        <f t="shared" si="1"/>
        <v>4.1666666666666741E-2</v>
      </c>
      <c r="J6" s="49"/>
    </row>
    <row r="7" spans="1:10" x14ac:dyDescent="0.25">
      <c r="A7" s="21">
        <v>5</v>
      </c>
      <c r="B7" s="22">
        <v>46162</v>
      </c>
      <c r="C7" s="23" t="s">
        <v>40</v>
      </c>
      <c r="D7" s="24" t="s">
        <v>41</v>
      </c>
      <c r="E7" s="24" t="s">
        <v>46</v>
      </c>
      <c r="F7" s="29">
        <v>46161.916666666664</v>
      </c>
      <c r="G7" s="29">
        <v>46162.833333333336</v>
      </c>
      <c r="H7" s="30">
        <f t="shared" si="0"/>
        <v>0.91666666667151731</v>
      </c>
      <c r="I7" s="30">
        <f t="shared" si="1"/>
        <v>0.41666666667151731</v>
      </c>
      <c r="J7" s="49"/>
    </row>
    <row r="8" spans="1:10" x14ac:dyDescent="0.25">
      <c r="A8" s="21">
        <v>6</v>
      </c>
      <c r="B8" s="22">
        <v>46163</v>
      </c>
      <c r="C8" s="23"/>
      <c r="D8" s="24"/>
      <c r="E8" s="24" t="s">
        <v>39</v>
      </c>
      <c r="F8" s="29">
        <v>7</v>
      </c>
      <c r="G8" s="29">
        <v>7</v>
      </c>
      <c r="H8" s="30">
        <f t="shared" si="0"/>
        <v>0</v>
      </c>
      <c r="I8" s="30">
        <f t="shared" si="1"/>
        <v>0</v>
      </c>
      <c r="J8" s="48"/>
    </row>
    <row r="9" spans="1:10" x14ac:dyDescent="0.25">
      <c r="A9" s="21">
        <v>7</v>
      </c>
      <c r="B9" s="22">
        <v>46164</v>
      </c>
      <c r="C9" s="23"/>
      <c r="D9" s="24"/>
      <c r="E9" s="24" t="s">
        <v>39</v>
      </c>
      <c r="F9" s="29">
        <v>7</v>
      </c>
      <c r="G9" s="29">
        <v>7</v>
      </c>
      <c r="H9" s="30">
        <f t="shared" si="0"/>
        <v>0</v>
      </c>
      <c r="I9" s="30">
        <f t="shared" si="1"/>
        <v>0</v>
      </c>
      <c r="J9" s="48"/>
    </row>
    <row r="10" spans="1:10" x14ac:dyDescent="0.25">
      <c r="A10" s="21">
        <v>8</v>
      </c>
      <c r="B10" s="22">
        <v>46165</v>
      </c>
      <c r="C10" s="23"/>
      <c r="D10" s="24"/>
      <c r="E10" s="24" t="s">
        <v>39</v>
      </c>
      <c r="F10" s="29">
        <v>7</v>
      </c>
      <c r="G10" s="29">
        <v>7</v>
      </c>
      <c r="H10" s="30">
        <f t="shared" si="0"/>
        <v>0</v>
      </c>
      <c r="I10" s="30">
        <f t="shared" si="1"/>
        <v>0</v>
      </c>
      <c r="J10" s="48"/>
    </row>
    <row r="11" spans="1:10" x14ac:dyDescent="0.25">
      <c r="A11" s="21">
        <v>9</v>
      </c>
      <c r="B11" s="22">
        <v>46166</v>
      </c>
      <c r="C11" s="23"/>
      <c r="D11" s="24"/>
      <c r="E11" s="24" t="s">
        <v>39</v>
      </c>
      <c r="F11" s="29">
        <v>7</v>
      </c>
      <c r="G11" s="29">
        <v>7</v>
      </c>
      <c r="H11" s="30">
        <f t="shared" si="0"/>
        <v>0</v>
      </c>
      <c r="I11" s="30">
        <f t="shared" si="1"/>
        <v>0</v>
      </c>
      <c r="J11" s="48"/>
    </row>
    <row r="12" spans="1:10" x14ac:dyDescent="0.25">
      <c r="A12" s="21">
        <v>10</v>
      </c>
      <c r="B12" s="22">
        <v>46167</v>
      </c>
      <c r="C12" s="23"/>
      <c r="D12" s="24"/>
      <c r="E12" s="24" t="s">
        <v>39</v>
      </c>
      <c r="F12" s="29">
        <v>7</v>
      </c>
      <c r="G12" s="29">
        <v>7</v>
      </c>
      <c r="H12" s="30">
        <f t="shared" si="0"/>
        <v>0</v>
      </c>
      <c r="I12" s="30">
        <f t="shared" si="1"/>
        <v>0</v>
      </c>
      <c r="J12" s="48"/>
    </row>
    <row r="13" spans="1:10" x14ac:dyDescent="0.25">
      <c r="A13" s="21">
        <v>11</v>
      </c>
      <c r="B13" s="22">
        <v>46168</v>
      </c>
      <c r="C13" s="23"/>
      <c r="D13" s="24"/>
      <c r="E13" s="24" t="s">
        <v>42</v>
      </c>
      <c r="F13" s="29">
        <v>0.83333333333333337</v>
      </c>
      <c r="G13" s="29">
        <v>0.33333333333333331</v>
      </c>
      <c r="H13" s="30">
        <f t="shared" si="0"/>
        <v>0.49999999999999989</v>
      </c>
      <c r="I13" s="30">
        <f t="shared" si="1"/>
        <v>0</v>
      </c>
      <c r="J13" s="39"/>
    </row>
    <row r="14" spans="1:10" s="47" customFormat="1" x14ac:dyDescent="0.25">
      <c r="A14" s="33">
        <v>12</v>
      </c>
      <c r="B14" s="34">
        <v>46169</v>
      </c>
      <c r="C14" s="35"/>
      <c r="D14" s="36"/>
      <c r="E14" s="36" t="s">
        <v>42</v>
      </c>
      <c r="F14" s="37">
        <v>0.83333333333333337</v>
      </c>
      <c r="G14" s="37">
        <v>0.33333333333333331</v>
      </c>
      <c r="H14" s="38">
        <f t="shared" si="0"/>
        <v>0.49999999999999989</v>
      </c>
      <c r="I14" s="38">
        <f t="shared" si="1"/>
        <v>0</v>
      </c>
      <c r="J14" s="36"/>
    </row>
    <row r="15" spans="1:10" x14ac:dyDescent="0.25">
      <c r="A15" s="21">
        <v>13</v>
      </c>
      <c r="B15" s="22">
        <v>46170</v>
      </c>
      <c r="C15" s="23"/>
      <c r="D15" s="24"/>
      <c r="E15" s="24" t="s">
        <v>42</v>
      </c>
      <c r="F15" s="29">
        <v>0.83333333333333337</v>
      </c>
      <c r="G15" s="29">
        <v>0.33333333333333331</v>
      </c>
      <c r="H15" s="30">
        <f t="shared" si="0"/>
        <v>0.49999999999999989</v>
      </c>
      <c r="I15" s="30">
        <f t="shared" si="1"/>
        <v>0</v>
      </c>
      <c r="J15" s="39"/>
    </row>
    <row r="16" spans="1:10" x14ac:dyDescent="0.25">
      <c r="A16" s="21">
        <v>14</v>
      </c>
      <c r="B16" s="22">
        <v>46171</v>
      </c>
      <c r="C16" s="23" t="s">
        <v>48</v>
      </c>
      <c r="D16" s="24" t="s">
        <v>49</v>
      </c>
      <c r="E16" s="24" t="s">
        <v>47</v>
      </c>
      <c r="F16" s="29">
        <v>0.83333333333333337</v>
      </c>
      <c r="G16" s="29">
        <v>0.52083333333333337</v>
      </c>
      <c r="H16" s="30">
        <f t="shared" si="0"/>
        <v>0.68750000000000011</v>
      </c>
      <c r="I16" s="30">
        <f t="shared" si="1"/>
        <v>0.18750000000000011</v>
      </c>
      <c r="J16" s="49"/>
    </row>
    <row r="17" spans="1:10" x14ac:dyDescent="0.25">
      <c r="A17" s="21">
        <v>15</v>
      </c>
      <c r="B17" s="22">
        <v>46172</v>
      </c>
      <c r="C17" s="23"/>
      <c r="D17" s="24"/>
      <c r="E17" s="24" t="s">
        <v>42</v>
      </c>
      <c r="F17" s="29">
        <v>0.83333333333333337</v>
      </c>
      <c r="G17" s="29">
        <v>0.33333333333333331</v>
      </c>
      <c r="H17" s="30">
        <f t="shared" si="0"/>
        <v>0.49999999999999989</v>
      </c>
      <c r="I17" s="30">
        <f t="shared" si="1"/>
        <v>0</v>
      </c>
      <c r="J17" s="39"/>
    </row>
    <row r="18" spans="1:10" x14ac:dyDescent="0.25">
      <c r="A18" s="21">
        <v>16</v>
      </c>
      <c r="B18" s="22">
        <v>46173</v>
      </c>
      <c r="C18" s="23"/>
      <c r="D18" s="24"/>
      <c r="E18" s="24" t="s">
        <v>42</v>
      </c>
      <c r="F18" s="29">
        <v>0.83333333333333337</v>
      </c>
      <c r="G18" s="29">
        <v>0.33333333333333331</v>
      </c>
      <c r="H18" s="30">
        <f t="shared" si="0"/>
        <v>0.49999999999999989</v>
      </c>
      <c r="I18" s="30">
        <f t="shared" si="1"/>
        <v>0</v>
      </c>
      <c r="J18" s="39"/>
    </row>
    <row r="19" spans="1:10" x14ac:dyDescent="0.25">
      <c r="A19" s="21">
        <v>17</v>
      </c>
      <c r="B19" s="22">
        <v>46174</v>
      </c>
      <c r="C19" s="23"/>
      <c r="D19" s="24"/>
      <c r="E19" s="24" t="s">
        <v>42</v>
      </c>
      <c r="F19" s="29">
        <v>0.83333333333333337</v>
      </c>
      <c r="G19" s="29">
        <v>0.33333333333333331</v>
      </c>
      <c r="H19" s="30">
        <f t="shared" ref="H19:H33" si="2">IF(G19&lt;F19,(G19+1)-F19,G19-F19)</f>
        <v>0.49999999999999989</v>
      </c>
      <c r="I19" s="30">
        <f t="shared" ref="I19:I33" si="3">MAX((IF(G19&lt;F19,(G19+1)-F19,G19-F19))-TIME(12,0,0),0)</f>
        <v>0</v>
      </c>
      <c r="J19" s="39"/>
    </row>
    <row r="20" spans="1:10" x14ac:dyDescent="0.25">
      <c r="A20" s="21">
        <v>18</v>
      </c>
      <c r="B20" s="22">
        <v>46175</v>
      </c>
      <c r="C20" s="23"/>
      <c r="D20" s="24"/>
      <c r="E20" s="24" t="s">
        <v>42</v>
      </c>
      <c r="F20" s="29">
        <v>0.83333333333333337</v>
      </c>
      <c r="G20" s="29">
        <v>0.33333333333333331</v>
      </c>
      <c r="H20" s="30">
        <f t="shared" si="2"/>
        <v>0.49999999999999989</v>
      </c>
      <c r="I20" s="30">
        <f t="shared" si="3"/>
        <v>0</v>
      </c>
      <c r="J20" s="39"/>
    </row>
    <row r="21" spans="1:10" x14ac:dyDescent="0.25">
      <c r="A21" s="21">
        <v>19</v>
      </c>
      <c r="B21" s="22">
        <v>46176</v>
      </c>
      <c r="C21" s="23"/>
      <c r="D21" s="24"/>
      <c r="E21" s="24" t="s">
        <v>42</v>
      </c>
      <c r="F21" s="29">
        <v>0.83333333333333337</v>
      </c>
      <c r="G21" s="29">
        <v>0.33333333333333331</v>
      </c>
      <c r="H21" s="30">
        <f t="shared" si="2"/>
        <v>0.49999999999999989</v>
      </c>
      <c r="I21" s="30">
        <f t="shared" si="3"/>
        <v>0</v>
      </c>
      <c r="J21" s="39"/>
    </row>
    <row r="22" spans="1:10" x14ac:dyDescent="0.25">
      <c r="A22" s="21">
        <v>20</v>
      </c>
      <c r="B22" s="22">
        <v>46177</v>
      </c>
      <c r="C22" s="23"/>
      <c r="D22" s="24"/>
      <c r="E22" s="24" t="s">
        <v>42</v>
      </c>
      <c r="F22" s="29">
        <v>0.83333333333333337</v>
      </c>
      <c r="G22" s="29">
        <v>0.33333333333333331</v>
      </c>
      <c r="H22" s="30">
        <f t="shared" si="2"/>
        <v>0.49999999999999989</v>
      </c>
      <c r="I22" s="30">
        <f t="shared" si="3"/>
        <v>0</v>
      </c>
      <c r="J22" s="39"/>
    </row>
    <row r="23" spans="1:10" x14ac:dyDescent="0.25">
      <c r="A23" s="21">
        <v>21</v>
      </c>
      <c r="B23" s="22">
        <v>46178</v>
      </c>
      <c r="C23" s="23"/>
      <c r="D23" s="24"/>
      <c r="E23" s="24" t="s">
        <v>39</v>
      </c>
      <c r="F23" s="29">
        <v>7</v>
      </c>
      <c r="G23" s="29">
        <v>7</v>
      </c>
      <c r="H23" s="30">
        <f t="shared" si="2"/>
        <v>0</v>
      </c>
      <c r="I23" s="30">
        <f t="shared" si="3"/>
        <v>0</v>
      </c>
      <c r="J23" s="48"/>
    </row>
    <row r="24" spans="1:10" x14ac:dyDescent="0.25">
      <c r="A24" s="21">
        <v>22</v>
      </c>
      <c r="B24" s="22">
        <v>46179</v>
      </c>
      <c r="C24" s="23"/>
      <c r="D24" s="24"/>
      <c r="E24" s="24" t="s">
        <v>39</v>
      </c>
      <c r="F24" s="29">
        <v>7</v>
      </c>
      <c r="G24" s="29">
        <v>7</v>
      </c>
      <c r="H24" s="30">
        <f t="shared" si="2"/>
        <v>0</v>
      </c>
      <c r="I24" s="30">
        <f t="shared" si="3"/>
        <v>0</v>
      </c>
      <c r="J24" s="48"/>
    </row>
    <row r="25" spans="1:10" x14ac:dyDescent="0.25">
      <c r="A25" s="21">
        <v>23</v>
      </c>
      <c r="B25" s="22">
        <v>46180</v>
      </c>
      <c r="C25" s="23"/>
      <c r="D25" s="24"/>
      <c r="E25" s="24" t="s">
        <v>39</v>
      </c>
      <c r="F25" s="29">
        <v>7</v>
      </c>
      <c r="G25" s="29">
        <v>7</v>
      </c>
      <c r="H25" s="30">
        <f t="shared" si="2"/>
        <v>0</v>
      </c>
      <c r="I25" s="30">
        <f t="shared" si="3"/>
        <v>0</v>
      </c>
      <c r="J25" s="48"/>
    </row>
    <row r="26" spans="1:10" x14ac:dyDescent="0.25">
      <c r="A26" s="21">
        <v>24</v>
      </c>
      <c r="B26" s="22">
        <v>46181</v>
      </c>
      <c r="C26" s="23"/>
      <c r="D26" s="24"/>
      <c r="E26" s="24" t="s">
        <v>39</v>
      </c>
      <c r="F26" s="29">
        <v>7</v>
      </c>
      <c r="G26" s="29">
        <v>7</v>
      </c>
      <c r="H26" s="30">
        <f t="shared" si="2"/>
        <v>0</v>
      </c>
      <c r="I26" s="30">
        <f t="shared" si="3"/>
        <v>0</v>
      </c>
      <c r="J26" s="48"/>
    </row>
    <row r="27" spans="1:10" x14ac:dyDescent="0.25">
      <c r="A27" s="21">
        <v>25</v>
      </c>
      <c r="B27" s="22">
        <v>46182</v>
      </c>
      <c r="C27" s="23"/>
      <c r="D27" s="24"/>
      <c r="E27" s="24" t="s">
        <v>39</v>
      </c>
      <c r="F27" s="29">
        <v>7</v>
      </c>
      <c r="G27" s="29">
        <v>7</v>
      </c>
      <c r="H27" s="30">
        <f t="shared" si="2"/>
        <v>0</v>
      </c>
      <c r="I27" s="30">
        <f t="shared" si="3"/>
        <v>0</v>
      </c>
      <c r="J27" s="48"/>
    </row>
    <row r="28" spans="1:10" x14ac:dyDescent="0.25">
      <c r="A28" s="21">
        <v>26</v>
      </c>
      <c r="B28" s="22">
        <v>46183</v>
      </c>
      <c r="C28" s="23"/>
      <c r="D28" s="24"/>
      <c r="E28" s="24" t="s">
        <v>50</v>
      </c>
      <c r="F28" s="29">
        <v>0.33333333333333331</v>
      </c>
      <c r="G28" s="29">
        <v>0.83333333333333337</v>
      </c>
      <c r="H28" s="30">
        <f t="shared" si="2"/>
        <v>0.5</v>
      </c>
      <c r="I28" s="30">
        <f t="shared" si="3"/>
        <v>0</v>
      </c>
      <c r="J28" s="51"/>
    </row>
    <row r="29" spans="1:10" s="47" customFormat="1" x14ac:dyDescent="0.25">
      <c r="A29" s="21">
        <v>27</v>
      </c>
      <c r="B29" s="22">
        <v>46184</v>
      </c>
      <c r="C29" s="23"/>
      <c r="D29" s="24"/>
      <c r="E29" s="24" t="s">
        <v>43</v>
      </c>
      <c r="F29" s="29">
        <v>0.33333333333333331</v>
      </c>
      <c r="G29" s="29">
        <v>0.83333333333333337</v>
      </c>
      <c r="H29" s="46">
        <f t="shared" si="2"/>
        <v>0.5</v>
      </c>
      <c r="I29" s="46">
        <f t="shared" si="3"/>
        <v>0</v>
      </c>
      <c r="J29" s="39"/>
    </row>
    <row r="30" spans="1:10" x14ac:dyDescent="0.25">
      <c r="A30" s="21">
        <v>28</v>
      </c>
      <c r="B30" s="22">
        <v>46185</v>
      </c>
      <c r="C30" s="23"/>
      <c r="D30" s="24"/>
      <c r="E30" s="24" t="s">
        <v>43</v>
      </c>
      <c r="F30" s="29">
        <v>0.33333333333333331</v>
      </c>
      <c r="G30" s="29">
        <v>0.83333333333333337</v>
      </c>
      <c r="H30" s="46">
        <f t="shared" si="2"/>
        <v>0.5</v>
      </c>
      <c r="I30" s="46">
        <f t="shared" si="3"/>
        <v>0</v>
      </c>
      <c r="J30" s="39"/>
    </row>
    <row r="31" spans="1:10" x14ac:dyDescent="0.25">
      <c r="A31" s="21">
        <v>29</v>
      </c>
      <c r="B31" s="22">
        <v>46186</v>
      </c>
      <c r="C31" s="23"/>
      <c r="D31" s="24"/>
      <c r="E31" s="24" t="s">
        <v>43</v>
      </c>
      <c r="F31" s="29">
        <v>0.33333333333333331</v>
      </c>
      <c r="G31" s="29">
        <v>0.83333333333333337</v>
      </c>
      <c r="H31" s="46">
        <f t="shared" si="2"/>
        <v>0.5</v>
      </c>
      <c r="I31" s="46">
        <f t="shared" si="3"/>
        <v>0</v>
      </c>
      <c r="J31" s="39"/>
    </row>
    <row r="32" spans="1:10" x14ac:dyDescent="0.25">
      <c r="A32" s="21">
        <v>30</v>
      </c>
      <c r="B32" s="22">
        <v>46187</v>
      </c>
      <c r="C32" s="23"/>
      <c r="D32" s="24"/>
      <c r="E32" s="24" t="s">
        <v>43</v>
      </c>
      <c r="F32" s="29">
        <v>0.33333333333333331</v>
      </c>
      <c r="G32" s="29">
        <v>0.83333333333333337</v>
      </c>
      <c r="H32" s="46">
        <f t="shared" si="2"/>
        <v>0.5</v>
      </c>
      <c r="I32" s="46">
        <f t="shared" si="3"/>
        <v>0</v>
      </c>
      <c r="J32" s="39"/>
    </row>
    <row r="33" spans="1:10" x14ac:dyDescent="0.25">
      <c r="A33" s="21">
        <v>31</v>
      </c>
      <c r="B33" s="22">
        <v>46188</v>
      </c>
      <c r="C33" s="23"/>
      <c r="D33" s="24"/>
      <c r="E33" s="24" t="s">
        <v>43</v>
      </c>
      <c r="F33" s="29">
        <v>0.33333333333333331</v>
      </c>
      <c r="G33" s="29">
        <v>0.83333333333333337</v>
      </c>
      <c r="H33" s="46">
        <f t="shared" si="2"/>
        <v>0.5</v>
      </c>
      <c r="I33" s="46">
        <f t="shared" si="3"/>
        <v>0</v>
      </c>
      <c r="J33" s="39"/>
    </row>
    <row r="35" spans="1:10" x14ac:dyDescent="0.25">
      <c r="B35" t="s">
        <v>23</v>
      </c>
    </row>
    <row r="36" spans="1:10" x14ac:dyDescent="0.25">
      <c r="A36" s="27">
        <v>1</v>
      </c>
      <c r="B36" s="26" t="s">
        <v>19</v>
      </c>
    </row>
    <row r="37" spans="1:10" x14ac:dyDescent="0.25">
      <c r="A37" s="40">
        <v>2</v>
      </c>
      <c r="B37" s="26" t="s">
        <v>18</v>
      </c>
    </row>
    <row r="38" spans="1:10" x14ac:dyDescent="0.25">
      <c r="A38" s="41">
        <v>3</v>
      </c>
      <c r="B38" s="26" t="s">
        <v>21</v>
      </c>
    </row>
  </sheetData>
  <mergeCells count="4">
    <mergeCell ref="C1:E1"/>
    <mergeCell ref="A1:A2"/>
    <mergeCell ref="B1:B2"/>
    <mergeCell ref="F1:J1"/>
  </mergeCells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April-Mei</vt:lpstr>
      <vt:lpstr>Mei-Juni</vt:lpstr>
      <vt:lpstr>Activity Mei-Juni</vt:lpstr>
      <vt:lpstr>'April-Mei'!Print_Area</vt:lpstr>
      <vt:lpstr>'Mei-Juni'!Print_Area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Navita Origo Solutions</dc:creator>
  <cp:lastModifiedBy>user</cp:lastModifiedBy>
  <dcterms:created xsi:type="dcterms:W3CDTF">2025-06-20T02:11:47Z</dcterms:created>
  <dcterms:modified xsi:type="dcterms:W3CDTF">2026-06-11T04:29:56Z</dcterms:modified>
</cp:coreProperties>
</file>